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shay.Kadoo\Desktop\Stock-Analysis_SwingTrading\"/>
    </mc:Choice>
  </mc:AlternateContent>
  <xr:revisionPtr revIDLastSave="0" documentId="10_ncr:100000_{630E1ADA-FF3D-4D05-BCB9-49BBD9B79CA7}" xr6:coauthVersionLast="31" xr6:coauthVersionMax="31" xr10:uidLastSave="{00000000-0000-0000-0000-000000000000}"/>
  <bookViews>
    <workbookView xWindow="0" yWindow="0" windowWidth="23040" windowHeight="8208" activeTab="1" xr2:uid="{5EEAFFFE-CFED-4BC3-B68A-62516CD36591}"/>
  </bookViews>
  <sheets>
    <sheet name="Sheet1" sheetId="1" r:id="rId1"/>
    <sheet name="Sheet3" sheetId="3" r:id="rId2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1" i="3" l="1"/>
  <c r="O1" i="3"/>
  <c r="M44" i="3"/>
  <c r="N44" i="3"/>
  <c r="O44" i="3"/>
  <c r="P44" i="3"/>
  <c r="M45" i="3"/>
  <c r="N45" i="3"/>
  <c r="O45" i="3"/>
  <c r="P45" i="3"/>
  <c r="M46" i="3"/>
  <c r="N46" i="3"/>
  <c r="O46" i="3"/>
  <c r="P46" i="3"/>
  <c r="M47" i="3"/>
  <c r="N47" i="3"/>
  <c r="O47" i="3"/>
  <c r="P47" i="3"/>
  <c r="M48" i="3"/>
  <c r="N48" i="3"/>
  <c r="O48" i="3"/>
  <c r="P48" i="3"/>
  <c r="M43" i="3"/>
  <c r="P43" i="3"/>
  <c r="O43" i="3"/>
  <c r="N43" i="3"/>
  <c r="R48" i="3"/>
  <c r="S48" i="3"/>
  <c r="T48" i="3"/>
  <c r="U48" i="3"/>
  <c r="R49" i="3"/>
  <c r="S49" i="3"/>
  <c r="T49" i="3"/>
  <c r="U49" i="3"/>
  <c r="R50" i="3"/>
  <c r="S50" i="3"/>
  <c r="T50" i="3"/>
  <c r="U50" i="3"/>
  <c r="R51" i="3"/>
  <c r="S51" i="3"/>
  <c r="T51" i="3"/>
  <c r="U51" i="3"/>
  <c r="R52" i="3"/>
  <c r="S52" i="3"/>
  <c r="T52" i="3"/>
  <c r="U52" i="3"/>
  <c r="S47" i="3"/>
  <c r="T47" i="3"/>
  <c r="U47" i="3"/>
  <c r="R47" i="3"/>
  <c r="F47" i="3" l="1"/>
  <c r="I3" i="3" l="1"/>
  <c r="J3" i="3"/>
  <c r="K3" i="3"/>
  <c r="H3" i="3"/>
  <c r="I4" i="3" l="1"/>
  <c r="J4" i="3"/>
  <c r="K4" i="3"/>
  <c r="H4" i="3"/>
  <c r="D3" i="3"/>
  <c r="D4" i="3" s="1"/>
  <c r="E3" i="3"/>
  <c r="E4" i="3" s="1"/>
  <c r="F3" i="3"/>
  <c r="F4" i="3" s="1"/>
  <c r="C3" i="3"/>
  <c r="C4" i="3" s="1"/>
  <c r="C7" i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6" i="1"/>
  <c r="C47" i="3" l="1"/>
  <c r="M4" i="3"/>
  <c r="H47" i="3"/>
  <c r="R4" i="3"/>
  <c r="K47" i="3"/>
  <c r="U4" i="3"/>
  <c r="E47" i="3"/>
  <c r="O4" i="3"/>
  <c r="J47" i="3"/>
  <c r="T4" i="3"/>
  <c r="P4" i="3"/>
  <c r="D47" i="3"/>
  <c r="N4" i="3"/>
  <c r="I47" i="3"/>
  <c r="S4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Table 0" description="Connection to the 'Table 0' query in the workbook." type="5" refreshedVersion="0" background="1">
    <dbPr connection="Provider=Microsoft.Mashup.OleDb.1;Data Source=$Workbook$;Location=Table 0;Extended Properties=&quot;&quot;" command="SELECT * FROM [Table 0]"/>
  </connection>
</connections>
</file>

<file path=xl/sharedStrings.xml><?xml version="1.0" encoding="utf-8"?>
<sst xmlns="http://schemas.openxmlformats.org/spreadsheetml/2006/main" count="466" uniqueCount="33">
  <si>
    <t>PE-1</t>
  </si>
  <si>
    <t>PE-2</t>
  </si>
  <si>
    <t>PE-3</t>
  </si>
  <si>
    <t>CE-1</t>
  </si>
  <si>
    <t>CE-2</t>
  </si>
  <si>
    <t>CE-3</t>
  </si>
  <si>
    <t>Decay</t>
  </si>
  <si>
    <t>Premium</t>
  </si>
  <si>
    <t>ATM</t>
  </si>
  <si>
    <t>PE-4</t>
  </si>
  <si>
    <t>CE-4</t>
  </si>
  <si>
    <t>Strike Price</t>
  </si>
  <si>
    <t>-</t>
  </si>
  <si>
    <t>CALLS OI</t>
  </si>
  <si>
    <t>CALLS Chng in OI</t>
  </si>
  <si>
    <t>CALLS Volume</t>
  </si>
  <si>
    <t>CALLS IV</t>
  </si>
  <si>
    <t>CALLS LTP</t>
  </si>
  <si>
    <t>CALLS Net Chng</t>
  </si>
  <si>
    <t>PUTS Net Chng</t>
  </si>
  <si>
    <t>PUTS LTP</t>
  </si>
  <si>
    <t>PUTS IV</t>
  </si>
  <si>
    <t>PUTS Volume</t>
  </si>
  <si>
    <t>PUTS Chng in OI</t>
  </si>
  <si>
    <t>PUTS OI</t>
  </si>
  <si>
    <t>STR PRICE</t>
  </si>
  <si>
    <t>Date</t>
  </si>
  <si>
    <t>MAX OI</t>
  </si>
  <si>
    <t>Nifty50 Closing</t>
  </si>
  <si>
    <t>Stock Closing</t>
  </si>
  <si>
    <t>FO Bhavcopy</t>
  </si>
  <si>
    <t>Average Call</t>
  </si>
  <si>
    <t>Average 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</si>
</sst>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2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3" fontId="0" fillId="0" borderId="0" xfId="0" applyNumberFormat="1"/>
    <xf numFmtId="0" fontId="0" fillId="0" borderId="2" xfId="0" applyNumberFormat="1" applyFont="1" applyBorder="1"/>
    <xf numFmtId="0" fontId="0" fillId="0" borderId="2" xfId="0" applyFont="1" applyBorder="1"/>
    <xf numFmtId="0" fontId="1" fillId="7" borderId="4" xfId="0" applyFont="1" applyFill="1" applyBorder="1"/>
    <xf numFmtId="0" fontId="1" fillId="7" borderId="5" xfId="0" applyFont="1" applyFill="1" applyBorder="1"/>
    <xf numFmtId="0" fontId="1" fillId="7" borderId="6" xfId="0" applyFont="1" applyFill="1" applyBorder="1"/>
    <xf numFmtId="0" fontId="0" fillId="8" borderId="4" xfId="0" applyNumberFormat="1" applyFont="1" applyFill="1" applyBorder="1"/>
    <xf numFmtId="0" fontId="0" fillId="8" borderId="5" xfId="0" applyNumberFormat="1" applyFont="1" applyFill="1" applyBorder="1"/>
    <xf numFmtId="0" fontId="0" fillId="8" borderId="5" xfId="0" applyFont="1" applyFill="1" applyBorder="1"/>
    <xf numFmtId="0" fontId="0" fillId="8" borderId="6" xfId="0" applyNumberFormat="1" applyFont="1" applyFill="1" applyBorder="1"/>
    <xf numFmtId="0" fontId="0" fillId="0" borderId="4" xfId="0" applyNumberFormat="1" applyFont="1" applyBorder="1"/>
    <xf numFmtId="0" fontId="0" fillId="0" borderId="5" xfId="0" applyNumberFormat="1" applyFont="1" applyBorder="1"/>
    <xf numFmtId="0" fontId="0" fillId="0" borderId="5" xfId="0" applyFont="1" applyBorder="1"/>
    <xf numFmtId="0" fontId="0" fillId="0" borderId="6" xfId="0" applyNumberFormat="1" applyFont="1" applyBorder="1"/>
    <xf numFmtId="3" fontId="0" fillId="0" borderId="6" xfId="0" applyNumberFormat="1" applyFont="1" applyBorder="1"/>
    <xf numFmtId="3" fontId="0" fillId="8" borderId="6" xfId="0" applyNumberFormat="1" applyFont="1" applyFill="1" applyBorder="1"/>
    <xf numFmtId="3" fontId="0" fillId="0" borderId="3" xfId="0" applyNumberFormat="1" applyFont="1" applyBorder="1"/>
    <xf numFmtId="3" fontId="0" fillId="8" borderId="4" xfId="0" applyNumberFormat="1" applyFont="1" applyFill="1" applyBorder="1"/>
    <xf numFmtId="3" fontId="0" fillId="0" borderId="4" xfId="0" applyNumberFormat="1" applyFont="1" applyBorder="1"/>
    <xf numFmtId="3" fontId="0" fillId="0" borderId="1" xfId="0" applyNumberFormat="1" applyFont="1" applyBorder="1"/>
    <xf numFmtId="14" fontId="0" fillId="0" borderId="0" xfId="0" applyNumberFormat="1"/>
    <xf numFmtId="0" fontId="0" fillId="9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8DDF7-B789-420B-9212-469FC538E63D}">
  <dimension ref="B2:V33"/>
  <sheetViews>
    <sheetView workbookViewId="0">
      <selection activeCell="S21" sqref="S21"/>
    </sheetView>
  </sheetViews>
  <sheetFormatPr defaultRowHeight="14.4" x14ac:dyDescent="0.3"/>
  <cols>
    <col min="8" max="8" width="1" customWidth="1"/>
    <col min="13" max="13" width="8.88671875" style="2"/>
    <col min="18" max="18" width="1" customWidth="1"/>
  </cols>
  <sheetData>
    <row r="2" spans="3:22" x14ac:dyDescent="0.3">
      <c r="D2" s="1" t="s">
        <v>7</v>
      </c>
      <c r="E2" s="1" t="s">
        <v>7</v>
      </c>
      <c r="F2" s="1" t="s">
        <v>7</v>
      </c>
      <c r="G2" s="1" t="s">
        <v>7</v>
      </c>
      <c r="I2" s="3" t="s">
        <v>7</v>
      </c>
      <c r="J2" s="3" t="s">
        <v>7</v>
      </c>
      <c r="K2" s="3" t="s">
        <v>7</v>
      </c>
      <c r="L2" s="3" t="s">
        <v>7</v>
      </c>
      <c r="N2" s="4" t="s">
        <v>6</v>
      </c>
      <c r="O2" s="4" t="s">
        <v>6</v>
      </c>
      <c r="P2" s="4" t="s">
        <v>6</v>
      </c>
      <c r="Q2" s="4" t="s">
        <v>6</v>
      </c>
      <c r="S2" s="5" t="s">
        <v>6</v>
      </c>
      <c r="T2" s="5" t="s">
        <v>6</v>
      </c>
      <c r="U2" s="5" t="s">
        <v>6</v>
      </c>
      <c r="V2" s="5" t="s">
        <v>6</v>
      </c>
    </row>
    <row r="3" spans="3:22" x14ac:dyDescent="0.3">
      <c r="D3" s="1" t="s">
        <v>0</v>
      </c>
      <c r="E3" s="1" t="s">
        <v>1</v>
      </c>
      <c r="F3" s="1" t="s">
        <v>2</v>
      </c>
      <c r="G3" s="1" t="s">
        <v>9</v>
      </c>
      <c r="I3" s="3" t="s">
        <v>3</v>
      </c>
      <c r="J3" s="3" t="s">
        <v>4</v>
      </c>
      <c r="K3" s="3" t="s">
        <v>5</v>
      </c>
      <c r="L3" s="3" t="s">
        <v>10</v>
      </c>
      <c r="N3" s="4" t="s">
        <v>0</v>
      </c>
      <c r="O3" s="4" t="s">
        <v>1</v>
      </c>
      <c r="P3" s="4" t="s">
        <v>2</v>
      </c>
      <c r="Q3" s="4" t="s">
        <v>9</v>
      </c>
      <c r="S3" s="5" t="s">
        <v>3</v>
      </c>
      <c r="T3" s="5" t="s">
        <v>4</v>
      </c>
      <c r="U3" s="5" t="s">
        <v>5</v>
      </c>
      <c r="V3" s="5" t="s">
        <v>10</v>
      </c>
    </row>
    <row r="4" spans="3:22" x14ac:dyDescent="0.3">
      <c r="D4">
        <v>10000</v>
      </c>
      <c r="E4">
        <v>10200</v>
      </c>
      <c r="F4">
        <v>9800</v>
      </c>
      <c r="G4">
        <v>10500</v>
      </c>
      <c r="I4">
        <v>10800</v>
      </c>
      <c r="J4">
        <v>11000</v>
      </c>
      <c r="K4">
        <v>10700</v>
      </c>
      <c r="L4">
        <v>10900</v>
      </c>
    </row>
    <row r="5" spans="3:22" x14ac:dyDescent="0.3">
      <c r="C5">
        <v>9800</v>
      </c>
    </row>
    <row r="6" spans="3:22" x14ac:dyDescent="0.3">
      <c r="C6">
        <f>C5+50</f>
        <v>9850</v>
      </c>
    </row>
    <row r="7" spans="3:22" x14ac:dyDescent="0.3">
      <c r="C7">
        <f t="shared" ref="C7:C33" si="0">C6+50</f>
        <v>9900</v>
      </c>
    </row>
    <row r="8" spans="3:22" x14ac:dyDescent="0.3">
      <c r="C8">
        <f t="shared" si="0"/>
        <v>9950</v>
      </c>
    </row>
    <row r="9" spans="3:22" x14ac:dyDescent="0.3">
      <c r="C9">
        <f t="shared" si="0"/>
        <v>10000</v>
      </c>
    </row>
    <row r="10" spans="3:22" x14ac:dyDescent="0.3">
      <c r="C10">
        <f t="shared" si="0"/>
        <v>10050</v>
      </c>
    </row>
    <row r="11" spans="3:22" x14ac:dyDescent="0.3">
      <c r="C11">
        <f t="shared" si="0"/>
        <v>10100</v>
      </c>
    </row>
    <row r="12" spans="3:22" x14ac:dyDescent="0.3">
      <c r="C12">
        <f t="shared" si="0"/>
        <v>10150</v>
      </c>
    </row>
    <row r="13" spans="3:22" x14ac:dyDescent="0.3">
      <c r="C13">
        <f t="shared" si="0"/>
        <v>10200</v>
      </c>
    </row>
    <row r="14" spans="3:22" x14ac:dyDescent="0.3">
      <c r="C14">
        <f t="shared" si="0"/>
        <v>10250</v>
      </c>
    </row>
    <row r="15" spans="3:22" x14ac:dyDescent="0.3">
      <c r="C15">
        <f t="shared" si="0"/>
        <v>10300</v>
      </c>
    </row>
    <row r="16" spans="3:22" x14ac:dyDescent="0.3">
      <c r="C16">
        <f t="shared" si="0"/>
        <v>10350</v>
      </c>
    </row>
    <row r="17" spans="2:3" x14ac:dyDescent="0.3">
      <c r="C17">
        <f t="shared" si="0"/>
        <v>10400</v>
      </c>
    </row>
    <row r="18" spans="2:3" x14ac:dyDescent="0.3">
      <c r="C18">
        <f t="shared" si="0"/>
        <v>10450</v>
      </c>
    </row>
    <row r="19" spans="2:3" x14ac:dyDescent="0.3">
      <c r="C19">
        <f t="shared" si="0"/>
        <v>10500</v>
      </c>
    </row>
    <row r="20" spans="2:3" x14ac:dyDescent="0.3">
      <c r="C20">
        <f t="shared" si="0"/>
        <v>10550</v>
      </c>
    </row>
    <row r="21" spans="2:3" x14ac:dyDescent="0.3">
      <c r="B21" t="s">
        <v>8</v>
      </c>
      <c r="C21">
        <f t="shared" si="0"/>
        <v>10600</v>
      </c>
    </row>
    <row r="22" spans="2:3" x14ac:dyDescent="0.3">
      <c r="C22">
        <f t="shared" si="0"/>
        <v>10650</v>
      </c>
    </row>
    <row r="23" spans="2:3" x14ac:dyDescent="0.3">
      <c r="C23">
        <f t="shared" si="0"/>
        <v>10700</v>
      </c>
    </row>
    <row r="24" spans="2:3" x14ac:dyDescent="0.3">
      <c r="C24">
        <f t="shared" si="0"/>
        <v>10750</v>
      </c>
    </row>
    <row r="25" spans="2:3" x14ac:dyDescent="0.3">
      <c r="C25">
        <f t="shared" si="0"/>
        <v>10800</v>
      </c>
    </row>
    <row r="26" spans="2:3" x14ac:dyDescent="0.3">
      <c r="C26">
        <f t="shared" si="0"/>
        <v>10850</v>
      </c>
    </row>
    <row r="27" spans="2:3" x14ac:dyDescent="0.3">
      <c r="C27">
        <f t="shared" si="0"/>
        <v>10900</v>
      </c>
    </row>
    <row r="28" spans="2:3" x14ac:dyDescent="0.3">
      <c r="C28">
        <f t="shared" si="0"/>
        <v>10950</v>
      </c>
    </row>
    <row r="29" spans="2:3" x14ac:dyDescent="0.3">
      <c r="C29">
        <f t="shared" si="0"/>
        <v>11000</v>
      </c>
    </row>
    <row r="30" spans="2:3" x14ac:dyDescent="0.3">
      <c r="C30">
        <f t="shared" si="0"/>
        <v>11050</v>
      </c>
    </row>
    <row r="31" spans="2:3" x14ac:dyDescent="0.3">
      <c r="C31">
        <f t="shared" si="0"/>
        <v>11100</v>
      </c>
    </row>
    <row r="32" spans="2:3" x14ac:dyDescent="0.3">
      <c r="C32">
        <f t="shared" si="0"/>
        <v>11150</v>
      </c>
    </row>
    <row r="33" spans="3:3" x14ac:dyDescent="0.3">
      <c r="C33">
        <f t="shared" si="0"/>
        <v>11200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13CA3-2C9F-4EF2-AB65-53DB942786BC}">
  <dimension ref="A1:AL99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4.4" x14ac:dyDescent="0.3"/>
  <cols>
    <col min="2" max="2" width="15.77734375" bestFit="1" customWidth="1"/>
    <col min="3" max="3" width="14.5546875" bestFit="1" customWidth="1"/>
    <col min="4" max="4" width="16" bestFit="1" customWidth="1"/>
    <col min="5" max="5" width="11.109375" bestFit="1" customWidth="1"/>
    <col min="6" max="6" width="9.88671875" bestFit="1" customWidth="1"/>
    <col min="7" max="7" width="1.5546875" customWidth="1"/>
    <col min="8" max="8" width="10" bestFit="1" customWidth="1"/>
    <col min="9" max="9" width="12.6640625" bestFit="1" customWidth="1"/>
    <col min="12" max="12" width="8.88671875" style="2"/>
    <col min="13" max="16" width="10" bestFit="1" customWidth="1"/>
    <col min="17" max="17" width="1.5546875" customWidth="1"/>
    <col min="18" max="21" width="9.77734375" bestFit="1" customWidth="1"/>
    <col min="23" max="23" width="10.33203125" bestFit="1" customWidth="1"/>
    <col min="26" max="26" width="13.33203125" bestFit="1" customWidth="1"/>
    <col min="27" max="27" width="10.6640625" bestFit="1" customWidth="1"/>
    <col min="28" max="28" width="17.5546875" bestFit="1" customWidth="1"/>
    <col min="29" max="29" width="15.44140625" bestFit="1" customWidth="1"/>
    <col min="30" max="30" width="10.5546875" bestFit="1" customWidth="1"/>
    <col min="31" max="31" width="11.77734375" bestFit="1" customWidth="1"/>
    <col min="32" max="32" width="16.6640625" bestFit="1" customWidth="1"/>
    <col min="33" max="33" width="14.88671875" bestFit="1" customWidth="1"/>
    <col min="34" max="34" width="16.109375" bestFit="1" customWidth="1"/>
    <col min="35" max="35" width="16.44140625" bestFit="1" customWidth="1"/>
    <col min="36" max="36" width="15.33203125" bestFit="1" customWidth="1"/>
    <col min="37" max="37" width="12.5546875" bestFit="1" customWidth="1"/>
    <col min="38" max="38" width="14.21875" bestFit="1" customWidth="1"/>
    <col min="39" max="39" width="15.44140625" bestFit="1" customWidth="1"/>
    <col min="40" max="40" width="15.44140625" customWidth="1"/>
  </cols>
  <sheetData>
    <row r="1" spans="2:38" x14ac:dyDescent="0.3">
      <c r="C1">
        <v>1</v>
      </c>
      <c r="D1">
        <v>2</v>
      </c>
      <c r="E1">
        <v>3</v>
      </c>
      <c r="F1">
        <v>4</v>
      </c>
      <c r="H1">
        <v>1</v>
      </c>
      <c r="I1">
        <v>2</v>
      </c>
      <c r="J1">
        <v>3</v>
      </c>
      <c r="K1">
        <v>4</v>
      </c>
      <c r="N1" t="s">
        <v>31</v>
      </c>
      <c r="O1">
        <f>AVERAGE(M6:P170)</f>
        <v>4.5250000000000004</v>
      </c>
      <c r="S1" t="s">
        <v>32</v>
      </c>
      <c r="T1">
        <f>AVERAGE(R6:U170)</f>
        <v>7.0270833333333336</v>
      </c>
      <c r="AA1" s="6" t="s">
        <v>28</v>
      </c>
    </row>
    <row r="2" spans="2:38" x14ac:dyDescent="0.3">
      <c r="C2" s="1" t="s">
        <v>7</v>
      </c>
      <c r="D2" s="1" t="s">
        <v>7</v>
      </c>
      <c r="E2" s="1" t="s">
        <v>7</v>
      </c>
      <c r="F2" s="1" t="s">
        <v>7</v>
      </c>
      <c r="H2" s="3" t="s">
        <v>7</v>
      </c>
      <c r="I2" s="3" t="s">
        <v>7</v>
      </c>
      <c r="J2" s="3" t="s">
        <v>7</v>
      </c>
      <c r="K2" s="3" t="s">
        <v>7</v>
      </c>
      <c r="AA2" t="s">
        <v>29</v>
      </c>
    </row>
    <row r="3" spans="2:38" x14ac:dyDescent="0.3">
      <c r="B3" s="27" t="s">
        <v>27</v>
      </c>
      <c r="C3" s="1">
        <f>LARGE($AL$6:$AL$1004,C1)</f>
        <v>4899300</v>
      </c>
      <c r="D3" s="1">
        <f>LARGE($AL$6:$AL$1004,D1)</f>
        <v>3359325</v>
      </c>
      <c r="E3" s="1">
        <f>LARGE($AL$6:$AL$1004,E1)</f>
        <v>3225075</v>
      </c>
      <c r="F3" s="1">
        <f>LARGE($AL$6:$AL$1004,F1)</f>
        <v>2639700</v>
      </c>
      <c r="H3" s="3">
        <f>LARGE($Z$6:$Z$1004,H1)</f>
        <v>3412800</v>
      </c>
      <c r="I3" s="3">
        <f>LARGE($Z$6:$Z$1004,I1)</f>
        <v>3059775</v>
      </c>
      <c r="J3" s="3">
        <f>LARGE($Z$6:$Z$1004,J1)</f>
        <v>2871825</v>
      </c>
      <c r="K3" s="3">
        <f>LARGE($Z$6:$Z$1004,K1)</f>
        <v>2406900</v>
      </c>
      <c r="M3" s="4" t="s">
        <v>6</v>
      </c>
      <c r="N3" s="4" t="s">
        <v>6</v>
      </c>
      <c r="O3" s="4" t="s">
        <v>6</v>
      </c>
      <c r="P3" s="4" t="s">
        <v>6</v>
      </c>
      <c r="R3" s="5" t="s">
        <v>6</v>
      </c>
      <c r="S3" s="5" t="s">
        <v>6</v>
      </c>
      <c r="T3" s="5" t="s">
        <v>6</v>
      </c>
      <c r="U3" s="5" t="s">
        <v>6</v>
      </c>
      <c r="AA3" t="s">
        <v>30</v>
      </c>
    </row>
    <row r="4" spans="2:38" x14ac:dyDescent="0.3">
      <c r="B4" s="27" t="s">
        <v>25</v>
      </c>
      <c r="C4" s="1">
        <f>INDEX($AF$6:$AF$1004,MATCH(C3,$AL$6:$AL$1004,0))</f>
        <v>10000</v>
      </c>
      <c r="D4" s="1">
        <f>INDEX($AF$6:$AF$1004,MATCH(D3,$AL$6:$AL$1004,0))</f>
        <v>10200</v>
      </c>
      <c r="E4" s="1">
        <f>INDEX($AF$6:$AF$1004,MATCH(E3,$AL$6:$AL$1004,0))</f>
        <v>9800</v>
      </c>
      <c r="F4" s="1">
        <f>INDEX($AF$6:$AF$1004,MATCH(F3,$AL$6:$AL$1004,0))</f>
        <v>10500</v>
      </c>
      <c r="H4" s="3">
        <f>VLOOKUP(H3,$Z:$AL,7,0)</f>
        <v>11000</v>
      </c>
      <c r="I4" s="3">
        <f>VLOOKUP(I3,$Z:$AL,7,0)</f>
        <v>10800</v>
      </c>
      <c r="J4" s="3">
        <f>VLOOKUP(J3,$Z:$AL,7,0)</f>
        <v>10700</v>
      </c>
      <c r="K4" s="3">
        <f>VLOOKUP(K3,$Z:$AL,7,0)</f>
        <v>10900</v>
      </c>
      <c r="M4" s="1">
        <f>C4</f>
        <v>10000</v>
      </c>
      <c r="N4" s="1">
        <f t="shared" ref="N4:P4" si="0">D4</f>
        <v>10200</v>
      </c>
      <c r="O4" s="1">
        <f t="shared" si="0"/>
        <v>9800</v>
      </c>
      <c r="P4" s="1">
        <f t="shared" si="0"/>
        <v>10500</v>
      </c>
      <c r="R4" s="3">
        <f>H4</f>
        <v>11000</v>
      </c>
      <c r="S4" s="3">
        <f>I4</f>
        <v>10800</v>
      </c>
      <c r="T4" s="3">
        <f>J4</f>
        <v>10700</v>
      </c>
      <c r="U4" s="3">
        <f>K4</f>
        <v>10900</v>
      </c>
    </row>
    <row r="5" spans="2:38" x14ac:dyDescent="0.3">
      <c r="W5" t="s">
        <v>26</v>
      </c>
      <c r="X5" t="s">
        <v>8</v>
      </c>
      <c r="Z5" s="9" t="s">
        <v>13</v>
      </c>
      <c r="AA5" s="10" t="s">
        <v>14</v>
      </c>
      <c r="AB5" s="10" t="s">
        <v>15</v>
      </c>
      <c r="AC5" s="10" t="s">
        <v>16</v>
      </c>
      <c r="AD5" s="10" t="s">
        <v>17</v>
      </c>
      <c r="AE5" s="10" t="s">
        <v>18</v>
      </c>
      <c r="AF5" s="10" t="s">
        <v>11</v>
      </c>
      <c r="AG5" s="10" t="s">
        <v>19</v>
      </c>
      <c r="AH5" s="10" t="s">
        <v>20</v>
      </c>
      <c r="AI5" s="10" t="s">
        <v>21</v>
      </c>
      <c r="AJ5" s="10" t="s">
        <v>22</v>
      </c>
      <c r="AK5" s="10" t="s">
        <v>23</v>
      </c>
      <c r="AL5" s="11" t="s">
        <v>24</v>
      </c>
    </row>
    <row r="6" spans="2:38" x14ac:dyDescent="0.3">
      <c r="B6" s="27">
        <v>8550</v>
      </c>
      <c r="W6" s="26">
        <v>43419</v>
      </c>
      <c r="X6">
        <v>10600</v>
      </c>
      <c r="Z6" s="12">
        <v>75</v>
      </c>
      <c r="AA6" s="13" t="s">
        <v>12</v>
      </c>
      <c r="AB6" s="13" t="s">
        <v>12</v>
      </c>
      <c r="AC6" s="13" t="s">
        <v>12</v>
      </c>
      <c r="AD6" s="13">
        <v>1401</v>
      </c>
      <c r="AE6" s="13" t="s">
        <v>12</v>
      </c>
      <c r="AF6" s="14">
        <v>8550</v>
      </c>
      <c r="AG6" s="13">
        <v>-0.75</v>
      </c>
      <c r="AH6" s="13">
        <v>1.25</v>
      </c>
      <c r="AI6" s="13">
        <v>43.55</v>
      </c>
      <c r="AJ6" s="13">
        <v>4</v>
      </c>
      <c r="AK6" s="13" t="s">
        <v>12</v>
      </c>
      <c r="AL6" s="15">
        <v>600</v>
      </c>
    </row>
    <row r="7" spans="2:38" x14ac:dyDescent="0.3">
      <c r="B7" s="27">
        <v>8600</v>
      </c>
      <c r="Z7" s="16">
        <v>225</v>
      </c>
      <c r="AA7" s="17" t="s">
        <v>12</v>
      </c>
      <c r="AB7" s="17" t="s">
        <v>12</v>
      </c>
      <c r="AC7" s="17" t="s">
        <v>12</v>
      </c>
      <c r="AD7" s="17">
        <v>1976.4</v>
      </c>
      <c r="AE7" s="17" t="s">
        <v>12</v>
      </c>
      <c r="AF7" s="18">
        <v>8600</v>
      </c>
      <c r="AG7" s="17">
        <v>-0.75</v>
      </c>
      <c r="AH7" s="17">
        <v>1.5</v>
      </c>
      <c r="AI7" s="17">
        <v>43.37</v>
      </c>
      <c r="AJ7" s="17">
        <v>57</v>
      </c>
      <c r="AK7" s="17">
        <v>-1875</v>
      </c>
      <c r="AL7" s="20">
        <v>223725</v>
      </c>
    </row>
    <row r="8" spans="2:38" x14ac:dyDescent="0.3">
      <c r="B8" s="27">
        <v>8650</v>
      </c>
      <c r="Z8" s="12" t="s">
        <v>12</v>
      </c>
      <c r="AA8" s="13" t="s">
        <v>12</v>
      </c>
      <c r="AB8" s="13" t="s">
        <v>12</v>
      </c>
      <c r="AC8" s="13" t="s">
        <v>12</v>
      </c>
      <c r="AD8" s="13" t="s">
        <v>12</v>
      </c>
      <c r="AE8" s="13" t="s">
        <v>12</v>
      </c>
      <c r="AF8" s="14">
        <v>8650</v>
      </c>
      <c r="AG8" s="13">
        <v>-0.35</v>
      </c>
      <c r="AH8" s="13">
        <v>1</v>
      </c>
      <c r="AI8" s="13">
        <v>40.479999999999997</v>
      </c>
      <c r="AJ8" s="13">
        <v>7</v>
      </c>
      <c r="AK8" s="13">
        <v>-75</v>
      </c>
      <c r="AL8" s="21">
        <v>13725</v>
      </c>
    </row>
    <row r="9" spans="2:38" x14ac:dyDescent="0.3">
      <c r="B9" s="27">
        <v>8700</v>
      </c>
      <c r="Z9" s="16">
        <v>900</v>
      </c>
      <c r="AA9" s="17" t="s">
        <v>12</v>
      </c>
      <c r="AB9" s="17" t="s">
        <v>12</v>
      </c>
      <c r="AC9" s="17" t="s">
        <v>12</v>
      </c>
      <c r="AD9" s="17">
        <v>1344.4</v>
      </c>
      <c r="AE9" s="17" t="s">
        <v>12</v>
      </c>
      <c r="AF9" s="18">
        <v>8700</v>
      </c>
      <c r="AG9" s="17">
        <v>-0.25</v>
      </c>
      <c r="AH9" s="17">
        <v>2.4500000000000002</v>
      </c>
      <c r="AI9" s="17">
        <v>43.74</v>
      </c>
      <c r="AJ9" s="17">
        <v>378</v>
      </c>
      <c r="AK9" s="17">
        <v>-675</v>
      </c>
      <c r="AL9" s="20">
        <v>677250</v>
      </c>
    </row>
    <row r="10" spans="2:38" x14ac:dyDescent="0.3">
      <c r="B10" s="27">
        <v>8750</v>
      </c>
      <c r="Z10" s="23">
        <v>2850</v>
      </c>
      <c r="AA10" s="13" t="s">
        <v>12</v>
      </c>
      <c r="AB10" s="13" t="s">
        <v>12</v>
      </c>
      <c r="AC10" s="13" t="s">
        <v>12</v>
      </c>
      <c r="AD10" s="13">
        <v>1872.35</v>
      </c>
      <c r="AE10" s="13" t="s">
        <v>12</v>
      </c>
      <c r="AF10" s="14">
        <v>8750</v>
      </c>
      <c r="AG10" s="13" t="s">
        <v>12</v>
      </c>
      <c r="AH10" s="13">
        <v>2.1</v>
      </c>
      <c r="AI10" s="13" t="s">
        <v>12</v>
      </c>
      <c r="AJ10" s="13" t="s">
        <v>12</v>
      </c>
      <c r="AK10" s="13" t="s">
        <v>12</v>
      </c>
      <c r="AL10" s="21">
        <v>5775</v>
      </c>
    </row>
    <row r="11" spans="2:38" x14ac:dyDescent="0.3">
      <c r="B11" s="27">
        <v>8800</v>
      </c>
      <c r="Z11" s="24">
        <v>1200</v>
      </c>
      <c r="AA11" s="17" t="s">
        <v>12</v>
      </c>
      <c r="AB11" s="17" t="s">
        <v>12</v>
      </c>
      <c r="AC11" s="17" t="s">
        <v>12</v>
      </c>
      <c r="AD11" s="17">
        <v>1242.5999999999999</v>
      </c>
      <c r="AE11" s="17" t="s">
        <v>12</v>
      </c>
      <c r="AF11" s="18">
        <v>8800</v>
      </c>
      <c r="AG11" s="17">
        <v>-0.25</v>
      </c>
      <c r="AH11" s="17">
        <v>2.4500000000000002</v>
      </c>
      <c r="AI11" s="17">
        <v>41.54</v>
      </c>
      <c r="AJ11" s="17">
        <v>136</v>
      </c>
      <c r="AK11" s="17">
        <v>975</v>
      </c>
      <c r="AL11" s="20">
        <v>567225</v>
      </c>
    </row>
    <row r="12" spans="2:38" x14ac:dyDescent="0.3">
      <c r="B12" s="27">
        <v>8850</v>
      </c>
      <c r="Z12" s="12" t="s">
        <v>12</v>
      </c>
      <c r="AA12" s="13" t="s">
        <v>12</v>
      </c>
      <c r="AB12" s="13" t="s">
        <v>12</v>
      </c>
      <c r="AC12" s="13" t="s">
        <v>12</v>
      </c>
      <c r="AD12" s="13" t="s">
        <v>12</v>
      </c>
      <c r="AE12" s="13" t="s">
        <v>12</v>
      </c>
      <c r="AF12" s="14">
        <v>8850</v>
      </c>
      <c r="AG12" s="13">
        <v>0.35</v>
      </c>
      <c r="AH12" s="13">
        <v>3.75</v>
      </c>
      <c r="AI12" s="13" t="s">
        <v>12</v>
      </c>
      <c r="AJ12" s="13" t="s">
        <v>12</v>
      </c>
      <c r="AK12" s="13" t="s">
        <v>12</v>
      </c>
      <c r="AL12" s="15">
        <v>150</v>
      </c>
    </row>
    <row r="13" spans="2:38" x14ac:dyDescent="0.3">
      <c r="B13" s="27">
        <v>8900</v>
      </c>
      <c r="Z13" s="16">
        <v>150</v>
      </c>
      <c r="AA13" s="17" t="s">
        <v>12</v>
      </c>
      <c r="AB13" s="17" t="s">
        <v>12</v>
      </c>
      <c r="AC13" s="17" t="s">
        <v>12</v>
      </c>
      <c r="AD13" s="17">
        <v>1165.45</v>
      </c>
      <c r="AE13" s="17" t="s">
        <v>12</v>
      </c>
      <c r="AF13" s="18">
        <v>8900</v>
      </c>
      <c r="AG13" s="17">
        <v>-0.3</v>
      </c>
      <c r="AH13" s="17">
        <v>2.6</v>
      </c>
      <c r="AI13" s="17">
        <v>39.659999999999997</v>
      </c>
      <c r="AJ13" s="17">
        <v>185</v>
      </c>
      <c r="AK13" s="17">
        <v>-975</v>
      </c>
      <c r="AL13" s="20">
        <v>280575</v>
      </c>
    </row>
    <row r="14" spans="2:38" x14ac:dyDescent="0.3">
      <c r="B14" s="27">
        <v>8950</v>
      </c>
      <c r="Z14" s="12" t="s">
        <v>12</v>
      </c>
      <c r="AA14" s="13" t="s">
        <v>12</v>
      </c>
      <c r="AB14" s="13" t="s">
        <v>12</v>
      </c>
      <c r="AC14" s="13" t="s">
        <v>12</v>
      </c>
      <c r="AD14" s="13" t="s">
        <v>12</v>
      </c>
      <c r="AE14" s="13" t="s">
        <v>12</v>
      </c>
      <c r="AF14" s="14">
        <v>8950</v>
      </c>
      <c r="AG14" s="13" t="s">
        <v>12</v>
      </c>
      <c r="AH14" s="13">
        <v>1</v>
      </c>
      <c r="AI14" s="13" t="s">
        <v>12</v>
      </c>
      <c r="AJ14" s="13" t="s">
        <v>12</v>
      </c>
      <c r="AK14" s="13" t="s">
        <v>12</v>
      </c>
      <c r="AL14" s="15">
        <v>300</v>
      </c>
    </row>
    <row r="15" spans="2:38" x14ac:dyDescent="0.3">
      <c r="B15" s="27">
        <v>9000</v>
      </c>
      <c r="Z15" s="24">
        <v>470250</v>
      </c>
      <c r="AA15" s="17">
        <v>-2100</v>
      </c>
      <c r="AB15" s="17">
        <v>118</v>
      </c>
      <c r="AC15" s="17" t="s">
        <v>12</v>
      </c>
      <c r="AD15" s="17">
        <v>1618.15</v>
      </c>
      <c r="AE15" s="17">
        <v>21.5</v>
      </c>
      <c r="AF15" s="18">
        <v>9000</v>
      </c>
      <c r="AG15" s="17">
        <v>-0.4</v>
      </c>
      <c r="AH15" s="17">
        <v>2.7</v>
      </c>
      <c r="AI15" s="17">
        <v>37.67</v>
      </c>
      <c r="AJ15" s="17">
        <v>1478</v>
      </c>
      <c r="AK15" s="17">
        <v>-45300</v>
      </c>
      <c r="AL15" s="20">
        <v>2259525</v>
      </c>
    </row>
    <row r="16" spans="2:38" x14ac:dyDescent="0.3">
      <c r="B16" s="27">
        <v>9050</v>
      </c>
      <c r="Z16" s="12" t="s">
        <v>12</v>
      </c>
      <c r="AA16" s="13" t="s">
        <v>12</v>
      </c>
      <c r="AB16" s="13" t="s">
        <v>12</v>
      </c>
      <c r="AC16" s="13" t="s">
        <v>12</v>
      </c>
      <c r="AD16" s="13" t="s">
        <v>12</v>
      </c>
      <c r="AE16" s="13" t="s">
        <v>12</v>
      </c>
      <c r="AF16" s="14">
        <v>9050</v>
      </c>
      <c r="AG16" s="13" t="s">
        <v>12</v>
      </c>
      <c r="AH16" s="13">
        <v>1.6</v>
      </c>
      <c r="AI16" s="13">
        <v>34.270000000000003</v>
      </c>
      <c r="AJ16" s="13">
        <v>6</v>
      </c>
      <c r="AK16" s="13">
        <v>-450</v>
      </c>
      <c r="AL16" s="21">
        <v>7800</v>
      </c>
    </row>
    <row r="17" spans="2:38" x14ac:dyDescent="0.3">
      <c r="B17" s="27">
        <v>9100</v>
      </c>
      <c r="Z17" s="24">
        <v>7950</v>
      </c>
      <c r="AA17" s="17" t="s">
        <v>12</v>
      </c>
      <c r="AB17" s="17" t="s">
        <v>12</v>
      </c>
      <c r="AC17" s="17" t="s">
        <v>12</v>
      </c>
      <c r="AD17" s="17">
        <v>1466.4</v>
      </c>
      <c r="AE17" s="17" t="s">
        <v>12</v>
      </c>
      <c r="AF17" s="18">
        <v>9100</v>
      </c>
      <c r="AG17" s="17">
        <v>-0.35</v>
      </c>
      <c r="AH17" s="17">
        <v>2.9</v>
      </c>
      <c r="AI17" s="17">
        <v>35.83</v>
      </c>
      <c r="AJ17" s="17">
        <v>427</v>
      </c>
      <c r="AK17" s="17">
        <v>-7950</v>
      </c>
      <c r="AL17" s="20">
        <v>137775</v>
      </c>
    </row>
    <row r="18" spans="2:38" x14ac:dyDescent="0.3">
      <c r="B18" s="27">
        <v>9150</v>
      </c>
      <c r="Z18" s="12" t="s">
        <v>12</v>
      </c>
      <c r="AA18" s="13" t="s">
        <v>12</v>
      </c>
      <c r="AB18" s="13" t="s">
        <v>12</v>
      </c>
      <c r="AC18" s="13" t="s">
        <v>12</v>
      </c>
      <c r="AD18" s="13" t="s">
        <v>12</v>
      </c>
      <c r="AE18" s="13" t="s">
        <v>12</v>
      </c>
      <c r="AF18" s="14">
        <v>9150</v>
      </c>
      <c r="AG18" s="13" t="s">
        <v>12</v>
      </c>
      <c r="AH18" s="13">
        <v>3.1</v>
      </c>
      <c r="AI18" s="13" t="s">
        <v>12</v>
      </c>
      <c r="AJ18" s="13" t="s">
        <v>12</v>
      </c>
      <c r="AK18" s="13" t="s">
        <v>12</v>
      </c>
      <c r="AL18" s="15">
        <v>150</v>
      </c>
    </row>
    <row r="19" spans="2:38" x14ac:dyDescent="0.3">
      <c r="B19" s="27">
        <v>9200</v>
      </c>
      <c r="Z19" s="24">
        <v>9375</v>
      </c>
      <c r="AA19" s="17" t="s">
        <v>12</v>
      </c>
      <c r="AB19" s="17" t="s">
        <v>12</v>
      </c>
      <c r="AC19" s="17" t="s">
        <v>12</v>
      </c>
      <c r="AD19" s="17">
        <v>1400.5</v>
      </c>
      <c r="AE19" s="17" t="s">
        <v>12</v>
      </c>
      <c r="AF19" s="18">
        <v>9200</v>
      </c>
      <c r="AG19" s="17">
        <v>-0.35</v>
      </c>
      <c r="AH19" s="17">
        <v>3</v>
      </c>
      <c r="AI19" s="17">
        <v>33.799999999999997</v>
      </c>
      <c r="AJ19" s="17">
        <v>975</v>
      </c>
      <c r="AK19" s="17">
        <v>-9750</v>
      </c>
      <c r="AL19" s="20">
        <v>239400</v>
      </c>
    </row>
    <row r="20" spans="2:38" x14ac:dyDescent="0.3">
      <c r="B20" s="27">
        <v>9250</v>
      </c>
      <c r="Z20" s="12" t="s">
        <v>12</v>
      </c>
      <c r="AA20" s="13" t="s">
        <v>12</v>
      </c>
      <c r="AB20" s="13" t="s">
        <v>12</v>
      </c>
      <c r="AC20" s="13" t="s">
        <v>12</v>
      </c>
      <c r="AD20" s="13" t="s">
        <v>12</v>
      </c>
      <c r="AE20" s="13" t="s">
        <v>12</v>
      </c>
      <c r="AF20" s="14">
        <v>9250</v>
      </c>
      <c r="AG20" s="13" t="s">
        <v>12</v>
      </c>
      <c r="AH20" s="13">
        <v>2</v>
      </c>
      <c r="AI20" s="13" t="s">
        <v>12</v>
      </c>
      <c r="AJ20" s="13" t="s">
        <v>12</v>
      </c>
      <c r="AK20" s="13" t="s">
        <v>12</v>
      </c>
      <c r="AL20" s="21">
        <v>2175</v>
      </c>
    </row>
    <row r="21" spans="2:38" x14ac:dyDescent="0.3">
      <c r="B21" s="27">
        <v>9300</v>
      </c>
      <c r="Z21" s="24">
        <v>1500</v>
      </c>
      <c r="AA21" s="17" t="s">
        <v>12</v>
      </c>
      <c r="AB21" s="17" t="s">
        <v>12</v>
      </c>
      <c r="AC21" s="17" t="s">
        <v>12</v>
      </c>
      <c r="AD21" s="17">
        <v>1295</v>
      </c>
      <c r="AE21" s="17" t="s">
        <v>12</v>
      </c>
      <c r="AF21" s="18">
        <v>9300</v>
      </c>
      <c r="AG21" s="17">
        <v>-0.35</v>
      </c>
      <c r="AH21" s="17">
        <v>3.3</v>
      </c>
      <c r="AI21" s="17">
        <v>32.04</v>
      </c>
      <c r="AJ21" s="17">
        <v>912</v>
      </c>
      <c r="AK21" s="17">
        <v>-18225</v>
      </c>
      <c r="AL21" s="20">
        <v>463275</v>
      </c>
    </row>
    <row r="22" spans="2:38" x14ac:dyDescent="0.3">
      <c r="B22" s="27">
        <v>9350</v>
      </c>
      <c r="Z22" s="12" t="s">
        <v>12</v>
      </c>
      <c r="AA22" s="13" t="s">
        <v>12</v>
      </c>
      <c r="AB22" s="13" t="s">
        <v>12</v>
      </c>
      <c r="AC22" s="13" t="s">
        <v>12</v>
      </c>
      <c r="AD22" s="13" t="s">
        <v>12</v>
      </c>
      <c r="AE22" s="13" t="s">
        <v>12</v>
      </c>
      <c r="AF22" s="14">
        <v>9350</v>
      </c>
      <c r="AG22" s="13" t="s">
        <v>12</v>
      </c>
      <c r="AH22" s="13">
        <v>3.8</v>
      </c>
      <c r="AI22" s="13" t="s">
        <v>12</v>
      </c>
      <c r="AJ22" s="13" t="s">
        <v>12</v>
      </c>
      <c r="AK22" s="13" t="s">
        <v>12</v>
      </c>
      <c r="AL22" s="21">
        <v>2700</v>
      </c>
    </row>
    <row r="23" spans="2:38" x14ac:dyDescent="0.3">
      <c r="B23" s="27">
        <v>9400</v>
      </c>
      <c r="Z23" s="24">
        <v>22425</v>
      </c>
      <c r="AA23" s="17">
        <v>-75</v>
      </c>
      <c r="AB23" s="17">
        <v>2</v>
      </c>
      <c r="AC23" s="17" t="s">
        <v>12</v>
      </c>
      <c r="AD23" s="17">
        <v>1225.3499999999999</v>
      </c>
      <c r="AE23" s="17">
        <v>37.6</v>
      </c>
      <c r="AF23" s="18">
        <v>9400</v>
      </c>
      <c r="AG23" s="17">
        <v>-0.5</v>
      </c>
      <c r="AH23" s="17">
        <v>3.5</v>
      </c>
      <c r="AI23" s="17">
        <v>30.1</v>
      </c>
      <c r="AJ23" s="17">
        <v>3142</v>
      </c>
      <c r="AK23" s="17">
        <v>-11700</v>
      </c>
      <c r="AL23" s="20">
        <v>474975</v>
      </c>
    </row>
    <row r="24" spans="2:38" x14ac:dyDescent="0.3">
      <c r="B24" s="27">
        <v>9450</v>
      </c>
      <c r="Z24" s="12">
        <v>75</v>
      </c>
      <c r="AA24" s="13" t="s">
        <v>12</v>
      </c>
      <c r="AB24" s="13" t="s">
        <v>12</v>
      </c>
      <c r="AC24" s="13" t="s">
        <v>12</v>
      </c>
      <c r="AD24" s="13">
        <v>852.75</v>
      </c>
      <c r="AE24" s="13" t="s">
        <v>12</v>
      </c>
      <c r="AF24" s="14">
        <v>9450</v>
      </c>
      <c r="AG24" s="13">
        <v>-0.7</v>
      </c>
      <c r="AH24" s="13">
        <v>3.3</v>
      </c>
      <c r="AI24" s="13">
        <v>28.75</v>
      </c>
      <c r="AJ24" s="13">
        <v>7</v>
      </c>
      <c r="AK24" s="13" t="s">
        <v>12</v>
      </c>
      <c r="AL24" s="21">
        <v>14250</v>
      </c>
    </row>
    <row r="25" spans="2:38" x14ac:dyDescent="0.3">
      <c r="B25" s="27">
        <v>9500</v>
      </c>
      <c r="Z25" s="24">
        <v>488700</v>
      </c>
      <c r="AA25" s="17">
        <v>-4350</v>
      </c>
      <c r="AB25" s="17">
        <v>174</v>
      </c>
      <c r="AC25" s="17" t="s">
        <v>12</v>
      </c>
      <c r="AD25" s="17">
        <v>1124.4000000000001</v>
      </c>
      <c r="AE25" s="17">
        <v>29.55</v>
      </c>
      <c r="AF25" s="18">
        <v>9500</v>
      </c>
      <c r="AG25" s="17">
        <v>-0.7</v>
      </c>
      <c r="AH25" s="17">
        <v>3.45</v>
      </c>
      <c r="AI25" s="17">
        <v>27.84</v>
      </c>
      <c r="AJ25" s="17">
        <v>11225</v>
      </c>
      <c r="AK25" s="17">
        <v>-93600</v>
      </c>
      <c r="AL25" s="20">
        <v>2367675</v>
      </c>
    </row>
    <row r="26" spans="2:38" x14ac:dyDescent="0.3">
      <c r="B26" s="27">
        <v>9550</v>
      </c>
      <c r="Z26" s="12">
        <v>75</v>
      </c>
      <c r="AA26" s="13" t="s">
        <v>12</v>
      </c>
      <c r="AB26" s="13" t="s">
        <v>12</v>
      </c>
      <c r="AC26" s="13" t="s">
        <v>12</v>
      </c>
      <c r="AD26" s="13">
        <v>853.1</v>
      </c>
      <c r="AE26" s="13" t="s">
        <v>12</v>
      </c>
      <c r="AF26" s="14">
        <v>9550</v>
      </c>
      <c r="AG26" s="13">
        <v>-1.6</v>
      </c>
      <c r="AH26" s="13">
        <v>4.0999999999999996</v>
      </c>
      <c r="AI26" s="13">
        <v>27.44</v>
      </c>
      <c r="AJ26" s="13">
        <v>44</v>
      </c>
      <c r="AK26" s="13">
        <v>-150</v>
      </c>
      <c r="AL26" s="21">
        <v>14250</v>
      </c>
    </row>
    <row r="27" spans="2:38" x14ac:dyDescent="0.3">
      <c r="B27" s="27">
        <v>9600</v>
      </c>
      <c r="Z27" s="24">
        <v>110100</v>
      </c>
      <c r="AA27" s="17">
        <v>-3300</v>
      </c>
      <c r="AB27" s="17">
        <v>1235</v>
      </c>
      <c r="AC27" s="17" t="s">
        <v>12</v>
      </c>
      <c r="AD27" s="17">
        <v>1015.5</v>
      </c>
      <c r="AE27" s="17">
        <v>24.65</v>
      </c>
      <c r="AF27" s="18">
        <v>9600</v>
      </c>
      <c r="AG27" s="17">
        <v>-0.65</v>
      </c>
      <c r="AH27" s="17">
        <v>4.5</v>
      </c>
      <c r="AI27" s="17">
        <v>26.71</v>
      </c>
      <c r="AJ27" s="17">
        <v>12805</v>
      </c>
      <c r="AK27" s="17">
        <v>-32250</v>
      </c>
      <c r="AL27" s="20">
        <v>2234475</v>
      </c>
    </row>
    <row r="28" spans="2:38" x14ac:dyDescent="0.3">
      <c r="B28" s="27">
        <v>9650</v>
      </c>
      <c r="Z28" s="12">
        <v>75</v>
      </c>
      <c r="AA28" s="13" t="s">
        <v>12</v>
      </c>
      <c r="AB28" s="13" t="s">
        <v>12</v>
      </c>
      <c r="AC28" s="13" t="s">
        <v>12</v>
      </c>
      <c r="AD28" s="13">
        <v>635.45000000000005</v>
      </c>
      <c r="AE28" s="13" t="s">
        <v>12</v>
      </c>
      <c r="AF28" s="14">
        <v>9650</v>
      </c>
      <c r="AG28" s="13">
        <v>-0.75</v>
      </c>
      <c r="AH28" s="13">
        <v>5.5</v>
      </c>
      <c r="AI28" s="13">
        <v>26.42</v>
      </c>
      <c r="AJ28" s="13">
        <v>26</v>
      </c>
      <c r="AK28" s="13">
        <v>-750</v>
      </c>
      <c r="AL28" s="21">
        <v>12525</v>
      </c>
    </row>
    <row r="29" spans="2:38" x14ac:dyDescent="0.3">
      <c r="B29" s="27">
        <v>9700</v>
      </c>
      <c r="Z29" s="24">
        <v>41175</v>
      </c>
      <c r="AA29" s="17">
        <v>-450</v>
      </c>
      <c r="AB29" s="17">
        <v>19</v>
      </c>
      <c r="AC29" s="17" t="s">
        <v>12</v>
      </c>
      <c r="AD29" s="17">
        <v>940</v>
      </c>
      <c r="AE29" s="17">
        <v>46.3</v>
      </c>
      <c r="AF29" s="18">
        <v>9700</v>
      </c>
      <c r="AG29" s="17">
        <v>-1.05</v>
      </c>
      <c r="AH29" s="17">
        <v>5.9</v>
      </c>
      <c r="AI29" s="17">
        <v>25.57</v>
      </c>
      <c r="AJ29" s="17">
        <v>13982</v>
      </c>
      <c r="AK29" s="17">
        <v>147375</v>
      </c>
      <c r="AL29" s="20">
        <v>1389600</v>
      </c>
    </row>
    <row r="30" spans="2:38" x14ac:dyDescent="0.3">
      <c r="B30" s="27">
        <v>9750</v>
      </c>
      <c r="Z30" s="12" t="s">
        <v>12</v>
      </c>
      <c r="AA30" s="13" t="s">
        <v>12</v>
      </c>
      <c r="AB30" s="13" t="s">
        <v>12</v>
      </c>
      <c r="AC30" s="13" t="s">
        <v>12</v>
      </c>
      <c r="AD30" s="13" t="s">
        <v>12</v>
      </c>
      <c r="AE30" s="13" t="s">
        <v>12</v>
      </c>
      <c r="AF30" s="14">
        <v>9750</v>
      </c>
      <c r="AG30" s="13">
        <v>-1.05</v>
      </c>
      <c r="AH30" s="13">
        <v>7.25</v>
      </c>
      <c r="AI30" s="13">
        <v>25.3</v>
      </c>
      <c r="AJ30" s="13">
        <v>478</v>
      </c>
      <c r="AK30" s="13">
        <v>-975</v>
      </c>
      <c r="AL30" s="21">
        <v>17925</v>
      </c>
    </row>
    <row r="31" spans="2:38" x14ac:dyDescent="0.3">
      <c r="B31" s="27">
        <v>9800</v>
      </c>
      <c r="Z31" s="24">
        <v>51150</v>
      </c>
      <c r="AA31" s="17">
        <v>-1125</v>
      </c>
      <c r="AB31" s="17">
        <v>34</v>
      </c>
      <c r="AC31" s="17" t="s">
        <v>12</v>
      </c>
      <c r="AD31" s="17">
        <v>822.7</v>
      </c>
      <c r="AE31" s="17">
        <v>61</v>
      </c>
      <c r="AF31" s="18">
        <v>9800</v>
      </c>
      <c r="AG31" s="17">
        <v>-1.6</v>
      </c>
      <c r="AH31" s="17">
        <v>8.6</v>
      </c>
      <c r="AI31" s="17">
        <v>24.88</v>
      </c>
      <c r="AJ31" s="17">
        <v>26040</v>
      </c>
      <c r="AK31" s="17">
        <v>273225</v>
      </c>
      <c r="AL31" s="20">
        <v>3225075</v>
      </c>
    </row>
    <row r="32" spans="2:38" x14ac:dyDescent="0.3">
      <c r="B32" s="27">
        <v>9850</v>
      </c>
      <c r="Z32" s="12">
        <v>150</v>
      </c>
      <c r="AA32" s="13">
        <v>-75</v>
      </c>
      <c r="AB32" s="13">
        <v>2</v>
      </c>
      <c r="AC32" s="13" t="s">
        <v>12</v>
      </c>
      <c r="AD32" s="13">
        <v>787.1</v>
      </c>
      <c r="AE32" s="13">
        <v>28.65</v>
      </c>
      <c r="AF32" s="14">
        <v>9850</v>
      </c>
      <c r="AG32" s="13">
        <v>-1.6</v>
      </c>
      <c r="AH32" s="13">
        <v>9.6</v>
      </c>
      <c r="AI32" s="13">
        <v>24.16</v>
      </c>
      <c r="AJ32" s="13">
        <v>289</v>
      </c>
      <c r="AK32" s="13">
        <v>75</v>
      </c>
      <c r="AL32" s="21">
        <v>47775</v>
      </c>
    </row>
    <row r="33" spans="1:38" x14ac:dyDescent="0.3">
      <c r="B33" s="27">
        <v>9900</v>
      </c>
      <c r="Z33" s="24">
        <v>54600</v>
      </c>
      <c r="AA33" s="17">
        <v>-2250</v>
      </c>
      <c r="AB33" s="17">
        <v>82</v>
      </c>
      <c r="AC33" s="17" t="s">
        <v>12</v>
      </c>
      <c r="AD33" s="17">
        <v>718.8</v>
      </c>
      <c r="AE33" s="17">
        <v>11.8</v>
      </c>
      <c r="AF33" s="18">
        <v>9900</v>
      </c>
      <c r="AG33" s="17">
        <v>-2.1</v>
      </c>
      <c r="AH33" s="17">
        <v>11.15</v>
      </c>
      <c r="AI33" s="17">
        <v>23.62</v>
      </c>
      <c r="AJ33" s="17">
        <v>17155</v>
      </c>
      <c r="AK33" s="17">
        <v>163275</v>
      </c>
      <c r="AL33" s="20">
        <v>1501575</v>
      </c>
    </row>
    <row r="34" spans="1:38" x14ac:dyDescent="0.3">
      <c r="B34" s="27">
        <v>9950</v>
      </c>
      <c r="Z34" s="23">
        <v>1650</v>
      </c>
      <c r="AA34" s="13">
        <v>-150</v>
      </c>
      <c r="AB34" s="13">
        <v>2</v>
      </c>
      <c r="AC34" s="13" t="s">
        <v>12</v>
      </c>
      <c r="AD34" s="13">
        <v>702</v>
      </c>
      <c r="AE34" s="13">
        <v>37.15</v>
      </c>
      <c r="AF34" s="14">
        <v>9950</v>
      </c>
      <c r="AG34" s="13">
        <v>-2.1</v>
      </c>
      <c r="AH34" s="13">
        <v>13</v>
      </c>
      <c r="AI34" s="13">
        <v>23.08</v>
      </c>
      <c r="AJ34" s="13">
        <v>1030</v>
      </c>
      <c r="AK34" s="13">
        <v>-9450</v>
      </c>
      <c r="AL34" s="21">
        <v>66750</v>
      </c>
    </row>
    <row r="35" spans="1:38" x14ac:dyDescent="0.3">
      <c r="B35" s="27">
        <v>10000</v>
      </c>
      <c r="Z35" s="24">
        <v>593550</v>
      </c>
      <c r="AA35" s="17">
        <v>-3525</v>
      </c>
      <c r="AB35" s="17">
        <v>457</v>
      </c>
      <c r="AC35" s="17" t="s">
        <v>12</v>
      </c>
      <c r="AD35" s="17">
        <v>629.45000000000005</v>
      </c>
      <c r="AE35" s="17">
        <v>18.75</v>
      </c>
      <c r="AF35" s="18">
        <v>10000</v>
      </c>
      <c r="AG35" s="17">
        <v>-3.1</v>
      </c>
      <c r="AH35" s="17">
        <v>15.05</v>
      </c>
      <c r="AI35" s="17">
        <v>22.51</v>
      </c>
      <c r="AJ35" s="17">
        <v>49821</v>
      </c>
      <c r="AK35" s="17">
        <v>53025</v>
      </c>
      <c r="AL35" s="20">
        <v>4899300</v>
      </c>
    </row>
    <row r="36" spans="1:38" x14ac:dyDescent="0.3">
      <c r="B36" s="27">
        <v>10050</v>
      </c>
      <c r="Z36" s="23">
        <v>11100</v>
      </c>
      <c r="AA36" s="13">
        <v>75</v>
      </c>
      <c r="AB36" s="13">
        <v>17</v>
      </c>
      <c r="AC36" s="13">
        <v>14.23</v>
      </c>
      <c r="AD36" s="13">
        <v>607</v>
      </c>
      <c r="AE36" s="13">
        <v>2</v>
      </c>
      <c r="AF36" s="14">
        <v>10050</v>
      </c>
      <c r="AG36" s="13">
        <v>-3.6</v>
      </c>
      <c r="AH36" s="13">
        <v>17.350000000000001</v>
      </c>
      <c r="AI36" s="13">
        <v>21.89</v>
      </c>
      <c r="AJ36" s="13">
        <v>769</v>
      </c>
      <c r="AK36" s="13">
        <v>4125</v>
      </c>
      <c r="AL36" s="21">
        <v>69600</v>
      </c>
    </row>
    <row r="37" spans="1:38" x14ac:dyDescent="0.3">
      <c r="B37" s="27">
        <v>10100</v>
      </c>
      <c r="Z37" s="24">
        <v>388050</v>
      </c>
      <c r="AA37" s="17">
        <v>-4350</v>
      </c>
      <c r="AB37" s="17">
        <v>350</v>
      </c>
      <c r="AC37" s="17" t="s">
        <v>12</v>
      </c>
      <c r="AD37" s="17">
        <v>541.45000000000005</v>
      </c>
      <c r="AE37" s="17">
        <v>15.9</v>
      </c>
      <c r="AF37" s="18">
        <v>10100</v>
      </c>
      <c r="AG37" s="17">
        <v>-3.9</v>
      </c>
      <c r="AH37" s="17">
        <v>20</v>
      </c>
      <c r="AI37" s="17">
        <v>21.26</v>
      </c>
      <c r="AJ37" s="17">
        <v>28582</v>
      </c>
      <c r="AK37" s="17">
        <v>26625</v>
      </c>
      <c r="AL37" s="20">
        <v>1805625</v>
      </c>
    </row>
    <row r="38" spans="1:38" x14ac:dyDescent="0.3">
      <c r="B38" s="27">
        <v>10150</v>
      </c>
      <c r="Z38" s="23">
        <v>33225</v>
      </c>
      <c r="AA38" s="13">
        <v>-300</v>
      </c>
      <c r="AB38" s="13">
        <v>13</v>
      </c>
      <c r="AC38" s="13">
        <v>21.97</v>
      </c>
      <c r="AD38" s="13">
        <v>534.15</v>
      </c>
      <c r="AE38" s="13">
        <v>106.65</v>
      </c>
      <c r="AF38" s="14">
        <v>10150</v>
      </c>
      <c r="AG38" s="13">
        <v>-4.5999999999999996</v>
      </c>
      <c r="AH38" s="13">
        <v>23.8</v>
      </c>
      <c r="AI38" s="13">
        <v>20.8</v>
      </c>
      <c r="AJ38" s="13">
        <v>3185</v>
      </c>
      <c r="AK38" s="13">
        <v>5175</v>
      </c>
      <c r="AL38" s="21">
        <v>82125</v>
      </c>
    </row>
    <row r="39" spans="1:38" x14ac:dyDescent="0.3">
      <c r="B39" s="27">
        <v>10200</v>
      </c>
      <c r="Z39" s="24">
        <v>459825</v>
      </c>
      <c r="AA39" s="17">
        <v>-22350</v>
      </c>
      <c r="AB39" s="17">
        <v>1624</v>
      </c>
      <c r="AC39" s="17" t="s">
        <v>12</v>
      </c>
      <c r="AD39" s="17">
        <v>448.7</v>
      </c>
      <c r="AE39" s="17">
        <v>16.7</v>
      </c>
      <c r="AF39" s="18">
        <v>10200</v>
      </c>
      <c r="AG39" s="17">
        <v>-5.15</v>
      </c>
      <c r="AH39" s="17">
        <v>28</v>
      </c>
      <c r="AI39" s="17">
        <v>20.27</v>
      </c>
      <c r="AJ39" s="17">
        <v>47464</v>
      </c>
      <c r="AK39" s="17">
        <v>165300</v>
      </c>
      <c r="AL39" s="20">
        <v>3359325</v>
      </c>
    </row>
    <row r="40" spans="1:38" x14ac:dyDescent="0.3">
      <c r="B40" s="27">
        <v>10250</v>
      </c>
      <c r="Z40" s="23">
        <v>34950</v>
      </c>
      <c r="AA40" s="13">
        <v>-450</v>
      </c>
      <c r="AB40" s="13">
        <v>15</v>
      </c>
      <c r="AC40" s="13">
        <v>15.27</v>
      </c>
      <c r="AD40" s="13">
        <v>420</v>
      </c>
      <c r="AE40" s="13">
        <v>61</v>
      </c>
      <c r="AF40" s="14">
        <v>10250</v>
      </c>
      <c r="AG40" s="13">
        <v>-6.5</v>
      </c>
      <c r="AH40" s="13">
        <v>32.85</v>
      </c>
      <c r="AI40" s="13">
        <v>19.71</v>
      </c>
      <c r="AJ40" s="13">
        <v>3347</v>
      </c>
      <c r="AK40" s="13">
        <v>33450</v>
      </c>
      <c r="AL40" s="21">
        <v>127725</v>
      </c>
    </row>
    <row r="41" spans="1:38" x14ac:dyDescent="0.3">
      <c r="B41" s="27">
        <v>10300</v>
      </c>
      <c r="Z41" s="24">
        <v>908550</v>
      </c>
      <c r="AA41" s="17">
        <v>-11925</v>
      </c>
      <c r="AB41" s="17">
        <v>2676</v>
      </c>
      <c r="AC41" s="17">
        <v>10.27</v>
      </c>
      <c r="AD41" s="17">
        <v>360</v>
      </c>
      <c r="AE41" s="17">
        <v>14.75</v>
      </c>
      <c r="AF41" s="18">
        <v>10300</v>
      </c>
      <c r="AG41" s="17">
        <v>-6.65</v>
      </c>
      <c r="AH41" s="17">
        <v>40.15</v>
      </c>
      <c r="AI41" s="17">
        <v>19.43</v>
      </c>
      <c r="AJ41" s="17">
        <v>55771</v>
      </c>
      <c r="AK41" s="17">
        <v>45750</v>
      </c>
      <c r="AL41" s="20">
        <v>1983150</v>
      </c>
    </row>
    <row r="42" spans="1:38" x14ac:dyDescent="0.3">
      <c r="B42" s="27">
        <v>10350</v>
      </c>
      <c r="Z42" s="23">
        <v>29475</v>
      </c>
      <c r="AA42" s="13">
        <v>-525</v>
      </c>
      <c r="AB42" s="13">
        <v>31</v>
      </c>
      <c r="AC42" s="13">
        <v>12.29</v>
      </c>
      <c r="AD42" s="13">
        <v>320</v>
      </c>
      <c r="AE42" s="13">
        <v>10.55</v>
      </c>
      <c r="AF42" s="14">
        <v>10350</v>
      </c>
      <c r="AG42" s="13">
        <v>-8.6</v>
      </c>
      <c r="AH42" s="13">
        <v>47.5</v>
      </c>
      <c r="AI42" s="13">
        <v>18.93</v>
      </c>
      <c r="AJ42" s="13">
        <v>3048</v>
      </c>
      <c r="AK42" s="13">
        <v>3975</v>
      </c>
      <c r="AL42" s="21">
        <v>96000</v>
      </c>
    </row>
    <row r="43" spans="1:38" x14ac:dyDescent="0.3">
      <c r="B43" s="27">
        <v>10400</v>
      </c>
      <c r="M43">
        <f>C43-C42</f>
        <v>0</v>
      </c>
      <c r="N43">
        <f>D43-D42</f>
        <v>0</v>
      </c>
      <c r="O43">
        <f>E43-E42</f>
        <v>0</v>
      </c>
      <c r="P43">
        <f t="shared" ref="P43" si="1">F43-F42</f>
        <v>0</v>
      </c>
      <c r="Z43" s="24">
        <v>932325</v>
      </c>
      <c r="AA43" s="17">
        <v>-37500</v>
      </c>
      <c r="AB43" s="17">
        <v>7260</v>
      </c>
      <c r="AC43" s="17">
        <v>12.07</v>
      </c>
      <c r="AD43" s="17">
        <v>275.85000000000002</v>
      </c>
      <c r="AE43" s="17">
        <v>6.75</v>
      </c>
      <c r="AF43" s="18">
        <v>10400</v>
      </c>
      <c r="AG43" s="17">
        <v>-8.9499999999999993</v>
      </c>
      <c r="AH43" s="17">
        <v>57</v>
      </c>
      <c r="AI43" s="17">
        <v>18.559999999999999</v>
      </c>
      <c r="AJ43" s="17">
        <v>82469</v>
      </c>
      <c r="AK43" s="17">
        <v>320700</v>
      </c>
      <c r="AL43" s="20">
        <v>2537250</v>
      </c>
    </row>
    <row r="44" spans="1:38" x14ac:dyDescent="0.3">
      <c r="B44" s="27">
        <v>10450</v>
      </c>
      <c r="M44">
        <f t="shared" ref="M44:M48" si="2">C44-C43</f>
        <v>0</v>
      </c>
      <c r="N44">
        <f t="shared" ref="N44:N48" si="3">D44-D43</f>
        <v>0</v>
      </c>
      <c r="O44">
        <f t="shared" ref="O44:O48" si="4">E44-E43</f>
        <v>0</v>
      </c>
      <c r="P44">
        <f t="shared" ref="P44:P48" si="5">F44-F43</f>
        <v>0</v>
      </c>
      <c r="Z44" s="23">
        <v>41400</v>
      </c>
      <c r="AA44" s="13">
        <v>-1050</v>
      </c>
      <c r="AB44" s="13">
        <v>267</v>
      </c>
      <c r="AC44" s="13">
        <v>12.59</v>
      </c>
      <c r="AD44" s="13">
        <v>238</v>
      </c>
      <c r="AE44" s="13">
        <v>6.55</v>
      </c>
      <c r="AF44" s="14">
        <v>10450</v>
      </c>
      <c r="AG44" s="13">
        <v>-9.85</v>
      </c>
      <c r="AH44" s="13">
        <v>68</v>
      </c>
      <c r="AI44" s="13">
        <v>18.149999999999999</v>
      </c>
      <c r="AJ44" s="13">
        <v>4846</v>
      </c>
      <c r="AK44" s="13">
        <v>50625</v>
      </c>
      <c r="AL44" s="21">
        <v>171825</v>
      </c>
    </row>
    <row r="45" spans="1:38" x14ac:dyDescent="0.3">
      <c r="B45" s="27">
        <v>10500</v>
      </c>
      <c r="M45">
        <f t="shared" si="2"/>
        <v>0</v>
      </c>
      <c r="N45">
        <f t="shared" si="3"/>
        <v>0</v>
      </c>
      <c r="O45">
        <f t="shared" si="4"/>
        <v>0</v>
      </c>
      <c r="P45">
        <f t="shared" si="5"/>
        <v>0</v>
      </c>
      <c r="Z45" s="24">
        <v>1526850</v>
      </c>
      <c r="AA45" s="17">
        <v>-83100</v>
      </c>
      <c r="AB45" s="17">
        <v>45178</v>
      </c>
      <c r="AC45" s="17">
        <v>12.84</v>
      </c>
      <c r="AD45" s="17">
        <v>202.2</v>
      </c>
      <c r="AE45" s="17">
        <v>6.45</v>
      </c>
      <c r="AF45" s="18">
        <v>10500</v>
      </c>
      <c r="AG45" s="17">
        <v>-10.95</v>
      </c>
      <c r="AH45" s="17">
        <v>81.5</v>
      </c>
      <c r="AI45" s="17">
        <v>17.829999999999998</v>
      </c>
      <c r="AJ45" s="17">
        <v>116843</v>
      </c>
      <c r="AK45" s="17">
        <v>109050</v>
      </c>
      <c r="AL45" s="20">
        <v>2639700</v>
      </c>
    </row>
    <row r="46" spans="1:38" x14ac:dyDescent="0.3">
      <c r="B46" s="27">
        <v>10550</v>
      </c>
      <c r="M46">
        <f t="shared" si="2"/>
        <v>0</v>
      </c>
      <c r="N46">
        <f t="shared" si="3"/>
        <v>0</v>
      </c>
      <c r="O46">
        <f t="shared" si="4"/>
        <v>0</v>
      </c>
      <c r="P46">
        <f t="shared" si="5"/>
        <v>0</v>
      </c>
      <c r="Z46" s="23">
        <v>86925</v>
      </c>
      <c r="AA46" s="13">
        <v>-18000</v>
      </c>
      <c r="AB46" s="13">
        <v>3963</v>
      </c>
      <c r="AC46" s="13">
        <v>12.73</v>
      </c>
      <c r="AD46" s="13">
        <v>167.2</v>
      </c>
      <c r="AE46" s="13">
        <v>3.8</v>
      </c>
      <c r="AF46" s="14">
        <v>10550</v>
      </c>
      <c r="AG46" s="13">
        <v>-12.5</v>
      </c>
      <c r="AH46" s="13">
        <v>96</v>
      </c>
      <c r="AI46" s="13">
        <v>17.350000000000001</v>
      </c>
      <c r="AJ46" s="13">
        <v>9808</v>
      </c>
      <c r="AK46" s="13">
        <v>15150</v>
      </c>
      <c r="AL46" s="21">
        <v>169950</v>
      </c>
    </row>
    <row r="47" spans="1:38" x14ac:dyDescent="0.3">
      <c r="A47" t="s">
        <v>8</v>
      </c>
      <c r="B47" s="27">
        <v>10600</v>
      </c>
      <c r="C47">
        <f>INDEX($AH$6:$AH$1000,MATCH(C$4,$AF$6:$AF$1000,0))</f>
        <v>15.05</v>
      </c>
      <c r="D47">
        <f>INDEX($AH$6:$AH$1000,MATCH(D$4,$AF$6:$AF$1000,0))</f>
        <v>28</v>
      </c>
      <c r="E47">
        <f>INDEX($AH$6:$AH$1000,MATCH(E$4,$AF$6:$AF$1000,0))</f>
        <v>8.6</v>
      </c>
      <c r="F47">
        <f>INDEX($AH$6:$AH$1000,MATCH(F$4,$AF$6:$AF$1000,0))</f>
        <v>81.5</v>
      </c>
      <c r="H47">
        <f>INDEX($AD$6:$AD$1000,MATCH(H$4,$AF$6:$AF$1000,0))</f>
        <v>12.6</v>
      </c>
      <c r="I47">
        <f>INDEX($AD$6:$AD$1000,MATCH(I$4,$AF$6:$AF$1000,0))</f>
        <v>47.8</v>
      </c>
      <c r="J47">
        <f>INDEX($AD$6:$AD$1000,MATCH(J$4,$AF$6:$AF$1000,0))</f>
        <v>83.8</v>
      </c>
      <c r="K47">
        <f>INDEX($AD$6:$AD$1000,MATCH(K$4,$AF$6:$AF$1000,0))</f>
        <v>24.45</v>
      </c>
      <c r="M47">
        <f t="shared" si="2"/>
        <v>15.05</v>
      </c>
      <c r="N47">
        <f t="shared" si="3"/>
        <v>28</v>
      </c>
      <c r="O47">
        <f t="shared" si="4"/>
        <v>8.6</v>
      </c>
      <c r="P47">
        <f t="shared" si="5"/>
        <v>81.5</v>
      </c>
      <c r="R47">
        <f>H47-H48</f>
        <v>-9.9999999999999645E-2</v>
      </c>
      <c r="S47">
        <f t="shared" ref="S47:U47" si="6">I47-I48</f>
        <v>-4.4500000000000028</v>
      </c>
      <c r="T47">
        <f t="shared" si="6"/>
        <v>-9.1000000000000085</v>
      </c>
      <c r="U47">
        <f t="shared" si="6"/>
        <v>-1.6999999999999993</v>
      </c>
      <c r="Z47" s="24">
        <v>2295300</v>
      </c>
      <c r="AA47" s="17">
        <v>-145800</v>
      </c>
      <c r="AB47" s="17">
        <v>107107</v>
      </c>
      <c r="AC47" s="17">
        <v>12.74</v>
      </c>
      <c r="AD47" s="17">
        <v>136.5</v>
      </c>
      <c r="AE47" s="17">
        <v>2.6</v>
      </c>
      <c r="AF47" s="18">
        <v>10600</v>
      </c>
      <c r="AG47" s="17">
        <v>-15.25</v>
      </c>
      <c r="AH47" s="17">
        <v>114.5</v>
      </c>
      <c r="AI47" s="17">
        <v>17.079999999999998</v>
      </c>
      <c r="AJ47" s="17">
        <v>119621</v>
      </c>
      <c r="AK47" s="17">
        <v>281100</v>
      </c>
      <c r="AL47" s="20">
        <v>1807800</v>
      </c>
    </row>
    <row r="48" spans="1:38" x14ac:dyDescent="0.3">
      <c r="B48" s="27">
        <v>10650</v>
      </c>
      <c r="C48">
        <v>12.4</v>
      </c>
      <c r="D48">
        <v>22.4</v>
      </c>
      <c r="E48">
        <v>7.3</v>
      </c>
      <c r="F48">
        <v>66.5</v>
      </c>
      <c r="H48">
        <v>12.7</v>
      </c>
      <c r="I48">
        <v>52.25</v>
      </c>
      <c r="J48">
        <v>92.9</v>
      </c>
      <c r="K48">
        <v>26.15</v>
      </c>
      <c r="M48">
        <f t="shared" si="2"/>
        <v>-2.6500000000000004</v>
      </c>
      <c r="N48">
        <f t="shared" si="3"/>
        <v>-5.6000000000000014</v>
      </c>
      <c r="O48">
        <f t="shared" si="4"/>
        <v>-1.2999999999999998</v>
      </c>
      <c r="P48">
        <f t="shared" si="5"/>
        <v>-15</v>
      </c>
      <c r="R48">
        <f t="shared" ref="R48:R52" si="7">H48-H49</f>
        <v>12.7</v>
      </c>
      <c r="S48">
        <f t="shared" ref="S48:S52" si="8">I48-I49</f>
        <v>52.25</v>
      </c>
      <c r="T48">
        <f t="shared" ref="T48:T52" si="9">J48-J49</f>
        <v>92.9</v>
      </c>
      <c r="U48">
        <f t="shared" ref="U48:U52" si="10">K48-K49</f>
        <v>26.15</v>
      </c>
      <c r="Z48" s="23">
        <v>277275</v>
      </c>
      <c r="AA48" s="13">
        <v>-23475</v>
      </c>
      <c r="AB48" s="13">
        <v>12091</v>
      </c>
      <c r="AC48" s="13">
        <v>12.69</v>
      </c>
      <c r="AD48" s="13">
        <v>109</v>
      </c>
      <c r="AE48" s="13">
        <v>0.75</v>
      </c>
      <c r="AF48" s="14">
        <v>10650</v>
      </c>
      <c r="AG48" s="13">
        <v>-17.25</v>
      </c>
      <c r="AH48" s="13">
        <v>135.05000000000001</v>
      </c>
      <c r="AI48" s="13">
        <v>16.73</v>
      </c>
      <c r="AJ48" s="13">
        <v>5073</v>
      </c>
      <c r="AK48" s="13">
        <v>23400</v>
      </c>
      <c r="AL48" s="21">
        <v>94575</v>
      </c>
    </row>
    <row r="49" spans="2:38" x14ac:dyDescent="0.3">
      <c r="B49" s="27">
        <v>10700</v>
      </c>
      <c r="R49">
        <f t="shared" si="7"/>
        <v>0</v>
      </c>
      <c r="S49">
        <f t="shared" si="8"/>
        <v>0</v>
      </c>
      <c r="T49">
        <f t="shared" si="9"/>
        <v>0</v>
      </c>
      <c r="U49">
        <f t="shared" si="10"/>
        <v>0</v>
      </c>
      <c r="Z49" s="24">
        <v>2871825</v>
      </c>
      <c r="AA49" s="17">
        <v>198975</v>
      </c>
      <c r="AB49" s="17">
        <v>161040</v>
      </c>
      <c r="AC49" s="17">
        <v>12.46</v>
      </c>
      <c r="AD49" s="17">
        <v>83.8</v>
      </c>
      <c r="AE49" s="17">
        <v>-0.1</v>
      </c>
      <c r="AF49" s="18">
        <v>10700</v>
      </c>
      <c r="AG49" s="17">
        <v>-16.649999999999999</v>
      </c>
      <c r="AH49" s="17">
        <v>160.1</v>
      </c>
      <c r="AI49" s="17">
        <v>16.59</v>
      </c>
      <c r="AJ49" s="17">
        <v>32164</v>
      </c>
      <c r="AK49" s="17">
        <v>114675</v>
      </c>
      <c r="AL49" s="20">
        <v>546900</v>
      </c>
    </row>
    <row r="50" spans="2:38" x14ac:dyDescent="0.3">
      <c r="B50" s="27">
        <v>10750</v>
      </c>
      <c r="R50">
        <f t="shared" si="7"/>
        <v>0</v>
      </c>
      <c r="S50">
        <f t="shared" si="8"/>
        <v>0</v>
      </c>
      <c r="T50">
        <f t="shared" si="9"/>
        <v>0</v>
      </c>
      <c r="U50">
        <f t="shared" si="10"/>
        <v>0</v>
      </c>
      <c r="Z50" s="23">
        <v>148575</v>
      </c>
      <c r="AA50" s="13">
        <v>-7650</v>
      </c>
      <c r="AB50" s="13">
        <v>7056</v>
      </c>
      <c r="AC50" s="13">
        <v>12.32</v>
      </c>
      <c r="AD50" s="13">
        <v>63.05</v>
      </c>
      <c r="AE50" s="13">
        <v>-1.85</v>
      </c>
      <c r="AF50" s="14">
        <v>10750</v>
      </c>
      <c r="AG50" s="13">
        <v>-28.9</v>
      </c>
      <c r="AH50" s="13">
        <v>186.4</v>
      </c>
      <c r="AI50" s="13">
        <v>16.25</v>
      </c>
      <c r="AJ50" s="13">
        <v>1016</v>
      </c>
      <c r="AK50" s="13">
        <v>8025</v>
      </c>
      <c r="AL50" s="21">
        <v>22350</v>
      </c>
    </row>
    <row r="51" spans="2:38" x14ac:dyDescent="0.3">
      <c r="B51" s="27">
        <v>10800</v>
      </c>
      <c r="R51">
        <f t="shared" si="7"/>
        <v>0</v>
      </c>
      <c r="S51">
        <f t="shared" si="8"/>
        <v>0</v>
      </c>
      <c r="T51">
        <f t="shared" si="9"/>
        <v>0</v>
      </c>
      <c r="U51">
        <f t="shared" si="10"/>
        <v>0</v>
      </c>
      <c r="Z51" s="24">
        <v>3059775</v>
      </c>
      <c r="AA51" s="17">
        <v>130050</v>
      </c>
      <c r="AB51" s="17">
        <v>130474</v>
      </c>
      <c r="AC51" s="17">
        <v>12.42</v>
      </c>
      <c r="AD51" s="17">
        <v>47.8</v>
      </c>
      <c r="AE51" s="17">
        <v>-0.95</v>
      </c>
      <c r="AF51" s="18">
        <v>10800</v>
      </c>
      <c r="AG51" s="17">
        <v>-17.899999999999999</v>
      </c>
      <c r="AH51" s="17">
        <v>222.8</v>
      </c>
      <c r="AI51" s="17">
        <v>16.829999999999998</v>
      </c>
      <c r="AJ51" s="17">
        <v>5991</v>
      </c>
      <c r="AK51" s="17">
        <v>16275</v>
      </c>
      <c r="AL51" s="20">
        <v>256725</v>
      </c>
    </row>
    <row r="52" spans="2:38" x14ac:dyDescent="0.3">
      <c r="B52" s="27">
        <v>10850</v>
      </c>
      <c r="R52">
        <f t="shared" si="7"/>
        <v>0</v>
      </c>
      <c r="S52">
        <f t="shared" si="8"/>
        <v>0</v>
      </c>
      <c r="T52">
        <f t="shared" si="9"/>
        <v>0</v>
      </c>
      <c r="U52">
        <f t="shared" si="10"/>
        <v>0</v>
      </c>
      <c r="Z52" s="23">
        <v>165675</v>
      </c>
      <c r="AA52" s="13">
        <v>18675</v>
      </c>
      <c r="AB52" s="13">
        <v>5643</v>
      </c>
      <c r="AC52" s="13">
        <v>12.24</v>
      </c>
      <c r="AD52" s="13">
        <v>33.85</v>
      </c>
      <c r="AE52" s="13">
        <v>-1.25</v>
      </c>
      <c r="AF52" s="14">
        <v>10850</v>
      </c>
      <c r="AG52" s="13">
        <v>-18.8</v>
      </c>
      <c r="AH52" s="13">
        <v>259.64999999999998</v>
      </c>
      <c r="AI52" s="13">
        <v>17.190000000000001</v>
      </c>
      <c r="AJ52" s="13">
        <v>70</v>
      </c>
      <c r="AK52" s="13">
        <v>-2700</v>
      </c>
      <c r="AL52" s="21">
        <v>3150</v>
      </c>
    </row>
    <row r="53" spans="2:38" x14ac:dyDescent="0.3">
      <c r="B53" s="27">
        <v>10900</v>
      </c>
      <c r="Z53" s="24">
        <v>2406900</v>
      </c>
      <c r="AA53" s="17">
        <v>-105075</v>
      </c>
      <c r="AB53" s="17">
        <v>87769</v>
      </c>
      <c r="AC53" s="17">
        <v>12.31</v>
      </c>
      <c r="AD53" s="17">
        <v>24.45</v>
      </c>
      <c r="AE53" s="17">
        <v>-1.05</v>
      </c>
      <c r="AF53" s="18">
        <v>10900</v>
      </c>
      <c r="AG53" s="17">
        <v>-20.3</v>
      </c>
      <c r="AH53" s="17">
        <v>294.8</v>
      </c>
      <c r="AI53" s="17">
        <v>17</v>
      </c>
      <c r="AJ53" s="17">
        <v>2464</v>
      </c>
      <c r="AK53" s="17">
        <v>5250</v>
      </c>
      <c r="AL53" s="20">
        <v>88650</v>
      </c>
    </row>
    <row r="54" spans="2:38" x14ac:dyDescent="0.3">
      <c r="B54" s="27">
        <v>10950</v>
      </c>
      <c r="Z54" s="23">
        <v>89475</v>
      </c>
      <c r="AA54" s="13">
        <v>19050</v>
      </c>
      <c r="AB54" s="13">
        <v>3686</v>
      </c>
      <c r="AC54" s="13">
        <v>12.32</v>
      </c>
      <c r="AD54" s="13">
        <v>17.05</v>
      </c>
      <c r="AE54" s="13">
        <v>-1.55</v>
      </c>
      <c r="AF54" s="14">
        <v>10950</v>
      </c>
      <c r="AG54" s="13" t="s">
        <v>12</v>
      </c>
      <c r="AH54" s="13">
        <v>373.35</v>
      </c>
      <c r="AI54" s="13" t="s">
        <v>12</v>
      </c>
      <c r="AJ54" s="13" t="s">
        <v>12</v>
      </c>
      <c r="AK54" s="13" t="s">
        <v>12</v>
      </c>
      <c r="AL54" s="21">
        <v>3975</v>
      </c>
    </row>
    <row r="55" spans="2:38" x14ac:dyDescent="0.3">
      <c r="B55" s="27">
        <v>11000</v>
      </c>
      <c r="Z55" s="24">
        <v>3412800</v>
      </c>
      <c r="AA55" s="17">
        <v>-26925</v>
      </c>
      <c r="AB55" s="17">
        <v>78896</v>
      </c>
      <c r="AC55" s="17">
        <v>12.6</v>
      </c>
      <c r="AD55" s="17">
        <v>12.6</v>
      </c>
      <c r="AE55" s="17">
        <v>-1.4</v>
      </c>
      <c r="AF55" s="18">
        <v>11000</v>
      </c>
      <c r="AG55" s="17">
        <v>-25.4</v>
      </c>
      <c r="AH55" s="17">
        <v>383.2</v>
      </c>
      <c r="AI55" s="17">
        <v>18.64</v>
      </c>
      <c r="AJ55" s="17">
        <v>1801</v>
      </c>
      <c r="AK55" s="17">
        <v>-6900</v>
      </c>
      <c r="AL55" s="20">
        <v>740400</v>
      </c>
    </row>
    <row r="56" spans="2:38" x14ac:dyDescent="0.3">
      <c r="B56" s="27">
        <v>11050</v>
      </c>
      <c r="Z56" s="23">
        <v>46125</v>
      </c>
      <c r="AA56" s="13">
        <v>1800</v>
      </c>
      <c r="AB56" s="13">
        <v>728</v>
      </c>
      <c r="AC56" s="13">
        <v>12.58</v>
      </c>
      <c r="AD56" s="13">
        <v>8.4</v>
      </c>
      <c r="AE56" s="13">
        <v>-1.25</v>
      </c>
      <c r="AF56" s="14">
        <v>11050</v>
      </c>
      <c r="AG56" s="13" t="s">
        <v>12</v>
      </c>
      <c r="AH56" s="13" t="s">
        <v>12</v>
      </c>
      <c r="AI56" s="13" t="s">
        <v>12</v>
      </c>
      <c r="AJ56" s="13" t="s">
        <v>12</v>
      </c>
      <c r="AK56" s="13" t="s">
        <v>12</v>
      </c>
      <c r="AL56" s="15" t="s">
        <v>12</v>
      </c>
    </row>
    <row r="57" spans="2:38" x14ac:dyDescent="0.3">
      <c r="B57" s="27">
        <v>11100</v>
      </c>
      <c r="Z57" s="24">
        <v>1048125</v>
      </c>
      <c r="AA57" s="17">
        <v>-51975</v>
      </c>
      <c r="AB57" s="17">
        <v>30817</v>
      </c>
      <c r="AC57" s="17">
        <v>12.81</v>
      </c>
      <c r="AD57" s="17">
        <v>6</v>
      </c>
      <c r="AE57" s="17">
        <v>-1.05</v>
      </c>
      <c r="AF57" s="18">
        <v>11100</v>
      </c>
      <c r="AG57" s="17">
        <v>-29.7</v>
      </c>
      <c r="AH57" s="17">
        <v>472.3</v>
      </c>
      <c r="AI57" s="17">
        <v>19.73</v>
      </c>
      <c r="AJ57" s="17">
        <v>207</v>
      </c>
      <c r="AK57" s="17">
        <v>-450</v>
      </c>
      <c r="AL57" s="20">
        <v>72900</v>
      </c>
    </row>
    <row r="58" spans="2:38" x14ac:dyDescent="0.3">
      <c r="B58" s="27">
        <v>11150</v>
      </c>
      <c r="Z58" s="23">
        <v>98925</v>
      </c>
      <c r="AA58" s="13">
        <v>3300</v>
      </c>
      <c r="AB58" s="13">
        <v>647</v>
      </c>
      <c r="AC58" s="13">
        <v>13.05</v>
      </c>
      <c r="AD58" s="13">
        <v>4.3</v>
      </c>
      <c r="AE58" s="13">
        <v>-1.2</v>
      </c>
      <c r="AF58" s="14">
        <v>11150</v>
      </c>
      <c r="AG58" s="13" t="s">
        <v>12</v>
      </c>
      <c r="AH58" s="13">
        <v>991.35</v>
      </c>
      <c r="AI58" s="13" t="s">
        <v>12</v>
      </c>
      <c r="AJ58" s="13" t="s">
        <v>12</v>
      </c>
      <c r="AK58" s="13" t="s">
        <v>12</v>
      </c>
      <c r="AL58" s="15">
        <v>150</v>
      </c>
    </row>
    <row r="59" spans="2:38" x14ac:dyDescent="0.3">
      <c r="B59" s="27">
        <v>11200</v>
      </c>
      <c r="Z59" s="24">
        <v>1300200</v>
      </c>
      <c r="AA59" s="17">
        <v>-28200</v>
      </c>
      <c r="AB59" s="17">
        <v>17203</v>
      </c>
      <c r="AC59" s="17">
        <v>13.62</v>
      </c>
      <c r="AD59" s="17">
        <v>3.55</v>
      </c>
      <c r="AE59" s="17">
        <v>-0.4</v>
      </c>
      <c r="AF59" s="18">
        <v>11200</v>
      </c>
      <c r="AG59" s="17">
        <v>-9.4499999999999993</v>
      </c>
      <c r="AH59" s="17">
        <v>576</v>
      </c>
      <c r="AI59" s="17">
        <v>23.45</v>
      </c>
      <c r="AJ59" s="17">
        <v>935</v>
      </c>
      <c r="AK59" s="17">
        <v>-38400</v>
      </c>
      <c r="AL59" s="20">
        <v>166650</v>
      </c>
    </row>
    <row r="60" spans="2:38" x14ac:dyDescent="0.3">
      <c r="B60" s="27">
        <v>11250</v>
      </c>
      <c r="Z60" s="23">
        <v>16575</v>
      </c>
      <c r="AA60" s="13">
        <v>-750</v>
      </c>
      <c r="AB60" s="13">
        <v>30</v>
      </c>
      <c r="AC60" s="13">
        <v>14.86</v>
      </c>
      <c r="AD60" s="13">
        <v>3.9</v>
      </c>
      <c r="AE60" s="13">
        <v>0.8</v>
      </c>
      <c r="AF60" s="14">
        <v>11250</v>
      </c>
      <c r="AG60" s="13" t="s">
        <v>12</v>
      </c>
      <c r="AH60" s="13" t="s">
        <v>12</v>
      </c>
      <c r="AI60" s="13" t="s">
        <v>12</v>
      </c>
      <c r="AJ60" s="13" t="s">
        <v>12</v>
      </c>
      <c r="AK60" s="13" t="s">
        <v>12</v>
      </c>
      <c r="AL60" s="15" t="s">
        <v>12</v>
      </c>
    </row>
    <row r="61" spans="2:38" x14ac:dyDescent="0.3">
      <c r="B61" s="27">
        <v>11300</v>
      </c>
      <c r="Z61" s="24">
        <v>449550</v>
      </c>
      <c r="AA61" s="17">
        <v>18150</v>
      </c>
      <c r="AB61" s="17">
        <v>8401</v>
      </c>
      <c r="AC61" s="17">
        <v>14.37</v>
      </c>
      <c r="AD61" s="17">
        <v>2.1</v>
      </c>
      <c r="AE61" s="17">
        <v>-0.55000000000000004</v>
      </c>
      <c r="AF61" s="18">
        <v>11300</v>
      </c>
      <c r="AG61" s="17">
        <v>-6.55</v>
      </c>
      <c r="AH61" s="17">
        <v>671.4</v>
      </c>
      <c r="AI61" s="17">
        <v>25.25</v>
      </c>
      <c r="AJ61" s="17">
        <v>966</v>
      </c>
      <c r="AK61" s="17">
        <v>-38925</v>
      </c>
      <c r="AL61" s="20">
        <v>71700</v>
      </c>
    </row>
    <row r="62" spans="2:38" x14ac:dyDescent="0.3">
      <c r="B62" s="27">
        <v>11350</v>
      </c>
      <c r="Z62" s="23">
        <v>3675</v>
      </c>
      <c r="AA62" s="13" t="s">
        <v>12</v>
      </c>
      <c r="AB62" s="13">
        <v>4</v>
      </c>
      <c r="AC62" s="13">
        <v>14.7</v>
      </c>
      <c r="AD62" s="13">
        <v>1.6</v>
      </c>
      <c r="AE62" s="13">
        <v>-1.2</v>
      </c>
      <c r="AF62" s="14">
        <v>11350</v>
      </c>
      <c r="AG62" s="13" t="s">
        <v>12</v>
      </c>
      <c r="AH62" s="13">
        <v>850</v>
      </c>
      <c r="AI62" s="13" t="s">
        <v>12</v>
      </c>
      <c r="AJ62" s="13" t="s">
        <v>12</v>
      </c>
      <c r="AK62" s="13" t="s">
        <v>12</v>
      </c>
      <c r="AL62" s="15">
        <v>75</v>
      </c>
    </row>
    <row r="63" spans="2:38" x14ac:dyDescent="0.3">
      <c r="B63" s="27">
        <v>11400</v>
      </c>
      <c r="Z63" s="24">
        <v>473850</v>
      </c>
      <c r="AA63" s="17">
        <v>56775</v>
      </c>
      <c r="AB63" s="17">
        <v>6567</v>
      </c>
      <c r="AC63" s="17">
        <v>15.64</v>
      </c>
      <c r="AD63" s="17">
        <v>1.65</v>
      </c>
      <c r="AE63" s="17">
        <v>-0.2</v>
      </c>
      <c r="AF63" s="18">
        <v>11400</v>
      </c>
      <c r="AG63" s="17">
        <v>-8.9</v>
      </c>
      <c r="AH63" s="17">
        <v>777.05</v>
      </c>
      <c r="AI63" s="17">
        <v>29.32</v>
      </c>
      <c r="AJ63" s="17">
        <v>1453</v>
      </c>
      <c r="AK63" s="17">
        <v>-46875</v>
      </c>
      <c r="AL63" s="20">
        <v>91425</v>
      </c>
    </row>
    <row r="64" spans="2:38" x14ac:dyDescent="0.3">
      <c r="B64" s="27">
        <v>11450</v>
      </c>
      <c r="Z64" s="12">
        <v>525</v>
      </c>
      <c r="AA64" s="13" t="s">
        <v>12</v>
      </c>
      <c r="AB64" s="13" t="s">
        <v>12</v>
      </c>
      <c r="AC64" s="13" t="s">
        <v>12</v>
      </c>
      <c r="AD64" s="13">
        <v>1.35</v>
      </c>
      <c r="AE64" s="13">
        <v>-0.2</v>
      </c>
      <c r="AF64" s="14">
        <v>11450</v>
      </c>
      <c r="AG64" s="13" t="s">
        <v>12</v>
      </c>
      <c r="AH64" s="13">
        <v>1225.6500000000001</v>
      </c>
      <c r="AI64" s="13" t="s">
        <v>12</v>
      </c>
      <c r="AJ64" s="13" t="s">
        <v>12</v>
      </c>
      <c r="AK64" s="13" t="s">
        <v>12</v>
      </c>
      <c r="AL64" s="15">
        <v>75</v>
      </c>
    </row>
    <row r="65" spans="2:38" x14ac:dyDescent="0.3">
      <c r="B65" s="27">
        <v>11500</v>
      </c>
      <c r="Z65" s="24">
        <v>763275</v>
      </c>
      <c r="AA65" s="17">
        <v>-11475</v>
      </c>
      <c r="AB65" s="17">
        <v>3376</v>
      </c>
      <c r="AC65" s="17">
        <v>17.149999999999999</v>
      </c>
      <c r="AD65" s="17">
        <v>1.5</v>
      </c>
      <c r="AE65" s="17">
        <v>-0.25</v>
      </c>
      <c r="AF65" s="18">
        <v>11500</v>
      </c>
      <c r="AG65" s="17">
        <v>-22.1</v>
      </c>
      <c r="AH65" s="17">
        <v>864.3</v>
      </c>
      <c r="AI65" s="17">
        <v>28.66</v>
      </c>
      <c r="AJ65" s="17">
        <v>180</v>
      </c>
      <c r="AK65" s="17">
        <v>-2475</v>
      </c>
      <c r="AL65" s="20">
        <v>552975</v>
      </c>
    </row>
    <row r="66" spans="2:38" x14ac:dyDescent="0.3">
      <c r="B66" s="27">
        <v>11550</v>
      </c>
      <c r="Z66" s="23">
        <v>975</v>
      </c>
      <c r="AA66" s="13">
        <v>375</v>
      </c>
      <c r="AB66" s="13">
        <v>9</v>
      </c>
      <c r="AC66" s="13">
        <v>17.989999999999998</v>
      </c>
      <c r="AD66" s="13">
        <v>1.5</v>
      </c>
      <c r="AE66" s="13">
        <v>-0.4</v>
      </c>
      <c r="AF66" s="14">
        <v>11550</v>
      </c>
      <c r="AG66" s="13" t="s">
        <v>12</v>
      </c>
      <c r="AH66" s="13" t="s">
        <v>12</v>
      </c>
      <c r="AI66" s="13" t="s">
        <v>12</v>
      </c>
      <c r="AJ66" s="13" t="s">
        <v>12</v>
      </c>
      <c r="AK66" s="13" t="s">
        <v>12</v>
      </c>
      <c r="AL66" s="15" t="s">
        <v>12</v>
      </c>
    </row>
    <row r="67" spans="2:38" x14ac:dyDescent="0.3">
      <c r="B67" s="27">
        <v>11600</v>
      </c>
      <c r="Z67" s="24">
        <v>118350</v>
      </c>
      <c r="AA67" s="17">
        <v>-900</v>
      </c>
      <c r="AB67" s="17">
        <v>663</v>
      </c>
      <c r="AC67" s="17">
        <v>18.98</v>
      </c>
      <c r="AD67" s="17">
        <v>1.6</v>
      </c>
      <c r="AE67" s="17">
        <v>0.2</v>
      </c>
      <c r="AF67" s="18">
        <v>11600</v>
      </c>
      <c r="AG67" s="17">
        <v>-115.2</v>
      </c>
      <c r="AH67" s="17">
        <v>923.65</v>
      </c>
      <c r="AI67" s="17" t="s">
        <v>12</v>
      </c>
      <c r="AJ67" s="17">
        <v>7</v>
      </c>
      <c r="AK67" s="17" t="s">
        <v>12</v>
      </c>
      <c r="AL67" s="20">
        <v>28725</v>
      </c>
    </row>
    <row r="68" spans="2:38" x14ac:dyDescent="0.3">
      <c r="B68" s="27">
        <v>11650</v>
      </c>
      <c r="Z68" s="23">
        <v>2775</v>
      </c>
      <c r="AA68" s="13" t="s">
        <v>12</v>
      </c>
      <c r="AB68" s="13" t="s">
        <v>12</v>
      </c>
      <c r="AC68" s="13" t="s">
        <v>12</v>
      </c>
      <c r="AD68" s="13">
        <v>2.2000000000000002</v>
      </c>
      <c r="AE68" s="13" t="s">
        <v>12</v>
      </c>
      <c r="AF68" s="14">
        <v>11650</v>
      </c>
      <c r="AG68" s="13" t="s">
        <v>12</v>
      </c>
      <c r="AH68" s="13" t="s">
        <v>12</v>
      </c>
      <c r="AI68" s="13" t="s">
        <v>12</v>
      </c>
      <c r="AJ68" s="13" t="s">
        <v>12</v>
      </c>
      <c r="AK68" s="13" t="s">
        <v>12</v>
      </c>
      <c r="AL68" s="15" t="s">
        <v>12</v>
      </c>
    </row>
    <row r="69" spans="2:38" x14ac:dyDescent="0.3">
      <c r="B69" s="27">
        <v>11700</v>
      </c>
      <c r="Z69" s="24">
        <v>340500</v>
      </c>
      <c r="AA69" s="17">
        <v>-1425</v>
      </c>
      <c r="AB69" s="17">
        <v>228</v>
      </c>
      <c r="AC69" s="17">
        <v>20.100000000000001</v>
      </c>
      <c r="AD69" s="17">
        <v>1.3</v>
      </c>
      <c r="AE69" s="17">
        <v>-0.2</v>
      </c>
      <c r="AF69" s="18">
        <v>11700</v>
      </c>
      <c r="AG69" s="17">
        <v>7.5</v>
      </c>
      <c r="AH69" s="17">
        <v>1080</v>
      </c>
      <c r="AI69" s="17" t="s">
        <v>12</v>
      </c>
      <c r="AJ69" s="17" t="s">
        <v>12</v>
      </c>
      <c r="AK69" s="17" t="s">
        <v>12</v>
      </c>
      <c r="AL69" s="20">
        <v>26475</v>
      </c>
    </row>
    <row r="70" spans="2:38" x14ac:dyDescent="0.3">
      <c r="B70" s="27">
        <v>11750</v>
      </c>
      <c r="Z70" s="12">
        <v>600</v>
      </c>
      <c r="AA70" s="13" t="s">
        <v>12</v>
      </c>
      <c r="AB70" s="13" t="s">
        <v>12</v>
      </c>
      <c r="AC70" s="13" t="s">
        <v>12</v>
      </c>
      <c r="AD70" s="13">
        <v>1</v>
      </c>
      <c r="AE70" s="13" t="s">
        <v>12</v>
      </c>
      <c r="AF70" s="14">
        <v>11750</v>
      </c>
      <c r="AG70" s="13" t="s">
        <v>12</v>
      </c>
      <c r="AH70" s="13" t="s">
        <v>12</v>
      </c>
      <c r="AI70" s="13" t="s">
        <v>12</v>
      </c>
      <c r="AJ70" s="13" t="s">
        <v>12</v>
      </c>
      <c r="AK70" s="13" t="s">
        <v>12</v>
      </c>
      <c r="AL70" s="15" t="s">
        <v>12</v>
      </c>
    </row>
    <row r="71" spans="2:38" x14ac:dyDescent="0.3">
      <c r="B71" s="27">
        <v>11800</v>
      </c>
      <c r="Z71" s="24">
        <v>141225</v>
      </c>
      <c r="AA71" s="17">
        <v>-5325</v>
      </c>
      <c r="AB71" s="17">
        <v>153</v>
      </c>
      <c r="AC71" s="17">
        <v>22.16</v>
      </c>
      <c r="AD71" s="17">
        <v>1.55</v>
      </c>
      <c r="AE71" s="17">
        <v>0.05</v>
      </c>
      <c r="AF71" s="18">
        <v>11800</v>
      </c>
      <c r="AG71" s="17">
        <v>-35</v>
      </c>
      <c r="AH71" s="17">
        <v>1120</v>
      </c>
      <c r="AI71" s="17" t="s">
        <v>12</v>
      </c>
      <c r="AJ71" s="17">
        <v>2</v>
      </c>
      <c r="AK71" s="17">
        <v>-75</v>
      </c>
      <c r="AL71" s="20">
        <v>8625</v>
      </c>
    </row>
    <row r="72" spans="2:38" x14ac:dyDescent="0.3">
      <c r="B72" s="27">
        <v>11850</v>
      </c>
      <c r="Z72" s="23">
        <v>1875</v>
      </c>
      <c r="AA72" s="13" t="s">
        <v>12</v>
      </c>
      <c r="AB72" s="13" t="s">
        <v>12</v>
      </c>
      <c r="AC72" s="13" t="s">
        <v>12</v>
      </c>
      <c r="AD72" s="13">
        <v>3</v>
      </c>
      <c r="AE72" s="13" t="s">
        <v>12</v>
      </c>
      <c r="AF72" s="14">
        <v>11850</v>
      </c>
      <c r="AG72" s="13" t="s">
        <v>12</v>
      </c>
      <c r="AH72" s="13" t="s">
        <v>12</v>
      </c>
      <c r="AI72" s="13" t="s">
        <v>12</v>
      </c>
      <c r="AJ72" s="13" t="s">
        <v>12</v>
      </c>
      <c r="AK72" s="13" t="s">
        <v>12</v>
      </c>
      <c r="AL72" s="15" t="s">
        <v>12</v>
      </c>
    </row>
    <row r="73" spans="2:38" x14ac:dyDescent="0.3">
      <c r="B73" s="27">
        <v>11900</v>
      </c>
      <c r="Z73" s="24">
        <v>64725</v>
      </c>
      <c r="AA73" s="17">
        <v>18300</v>
      </c>
      <c r="AB73" s="17">
        <v>348</v>
      </c>
      <c r="AC73" s="17">
        <v>23.35</v>
      </c>
      <c r="AD73" s="17">
        <v>1.35</v>
      </c>
      <c r="AE73" s="17">
        <v>0.1</v>
      </c>
      <c r="AF73" s="18">
        <v>11900</v>
      </c>
      <c r="AG73" s="17">
        <v>-59.25</v>
      </c>
      <c r="AH73" s="17">
        <v>1221.05</v>
      </c>
      <c r="AI73" s="17" t="s">
        <v>12</v>
      </c>
      <c r="AJ73" s="17">
        <v>3</v>
      </c>
      <c r="AK73" s="17" t="s">
        <v>12</v>
      </c>
      <c r="AL73" s="20">
        <v>32550</v>
      </c>
    </row>
    <row r="74" spans="2:38" x14ac:dyDescent="0.3">
      <c r="B74" s="27">
        <v>11950</v>
      </c>
      <c r="Z74" s="23">
        <v>1800</v>
      </c>
      <c r="AA74" s="13" t="s">
        <v>12</v>
      </c>
      <c r="AB74" s="13">
        <v>1</v>
      </c>
      <c r="AC74" s="13">
        <v>26.09</v>
      </c>
      <c r="AD74" s="13">
        <v>2.5</v>
      </c>
      <c r="AE74" s="13">
        <v>1.6</v>
      </c>
      <c r="AF74" s="14">
        <v>11950</v>
      </c>
      <c r="AG74" s="13" t="s">
        <v>12</v>
      </c>
      <c r="AH74" s="13" t="s">
        <v>12</v>
      </c>
      <c r="AI74" s="13" t="s">
        <v>12</v>
      </c>
      <c r="AJ74" s="13" t="s">
        <v>12</v>
      </c>
      <c r="AK74" s="13" t="s">
        <v>12</v>
      </c>
      <c r="AL74" s="15" t="s">
        <v>12</v>
      </c>
    </row>
    <row r="75" spans="2:38" x14ac:dyDescent="0.3">
      <c r="B75" s="27">
        <v>12000</v>
      </c>
      <c r="Z75" s="24">
        <v>652575</v>
      </c>
      <c r="AA75" s="17">
        <v>122250</v>
      </c>
      <c r="AB75" s="17">
        <v>8752</v>
      </c>
      <c r="AC75" s="17">
        <v>24.89</v>
      </c>
      <c r="AD75" s="17">
        <v>1.35</v>
      </c>
      <c r="AE75" s="17">
        <v>0.15</v>
      </c>
      <c r="AF75" s="18">
        <v>12000</v>
      </c>
      <c r="AG75" s="17">
        <v>-25.7</v>
      </c>
      <c r="AH75" s="17">
        <v>1362.15</v>
      </c>
      <c r="AI75" s="17">
        <v>39.92</v>
      </c>
      <c r="AJ75" s="17">
        <v>155</v>
      </c>
      <c r="AK75" s="17">
        <v>3975</v>
      </c>
      <c r="AL75" s="20">
        <v>602925</v>
      </c>
    </row>
    <row r="76" spans="2:38" x14ac:dyDescent="0.3">
      <c r="B76" s="27">
        <v>12050</v>
      </c>
      <c r="Z76" s="23">
        <v>1950</v>
      </c>
      <c r="AA76" s="13">
        <v>225</v>
      </c>
      <c r="AB76" s="13">
        <v>5</v>
      </c>
      <c r="AC76" s="13">
        <v>26.08</v>
      </c>
      <c r="AD76" s="13">
        <v>1.55</v>
      </c>
      <c r="AE76" s="13">
        <v>-1.45</v>
      </c>
      <c r="AF76" s="14">
        <v>12050</v>
      </c>
      <c r="AG76" s="13" t="s">
        <v>12</v>
      </c>
      <c r="AH76" s="13" t="s">
        <v>12</v>
      </c>
      <c r="AI76" s="13" t="s">
        <v>12</v>
      </c>
      <c r="AJ76" s="13" t="s">
        <v>12</v>
      </c>
      <c r="AK76" s="13" t="s">
        <v>12</v>
      </c>
      <c r="AL76" s="15" t="s">
        <v>12</v>
      </c>
    </row>
    <row r="77" spans="2:38" x14ac:dyDescent="0.3">
      <c r="B77" s="27">
        <v>12100</v>
      </c>
      <c r="Z77" s="24">
        <v>18825</v>
      </c>
      <c r="AA77" s="17">
        <v>-4500</v>
      </c>
      <c r="AB77" s="17">
        <v>166</v>
      </c>
      <c r="AC77" s="17">
        <v>25.22</v>
      </c>
      <c r="AD77" s="17">
        <v>0.9</v>
      </c>
      <c r="AE77" s="17">
        <v>-0.25</v>
      </c>
      <c r="AF77" s="18">
        <v>12100</v>
      </c>
      <c r="AG77" s="17" t="s">
        <v>12</v>
      </c>
      <c r="AH77" s="17">
        <v>1499.1</v>
      </c>
      <c r="AI77" s="17" t="s">
        <v>12</v>
      </c>
      <c r="AJ77" s="17" t="s">
        <v>12</v>
      </c>
      <c r="AK77" s="17" t="s">
        <v>12</v>
      </c>
      <c r="AL77" s="20">
        <v>21525</v>
      </c>
    </row>
    <row r="78" spans="2:38" x14ac:dyDescent="0.3">
      <c r="B78" s="27">
        <v>12150</v>
      </c>
      <c r="Z78" s="12">
        <v>75</v>
      </c>
      <c r="AA78" s="13" t="s">
        <v>12</v>
      </c>
      <c r="AB78" s="13" t="s">
        <v>12</v>
      </c>
      <c r="AC78" s="13" t="s">
        <v>12</v>
      </c>
      <c r="AD78" s="13">
        <v>0.3</v>
      </c>
      <c r="AE78" s="13" t="s">
        <v>12</v>
      </c>
      <c r="AF78" s="14">
        <v>12150</v>
      </c>
      <c r="AG78" s="13" t="s">
        <v>12</v>
      </c>
      <c r="AH78" s="13" t="s">
        <v>12</v>
      </c>
      <c r="AI78" s="13" t="s">
        <v>12</v>
      </c>
      <c r="AJ78" s="13" t="s">
        <v>12</v>
      </c>
      <c r="AK78" s="13" t="s">
        <v>12</v>
      </c>
      <c r="AL78" s="15" t="s">
        <v>12</v>
      </c>
    </row>
    <row r="79" spans="2:38" x14ac:dyDescent="0.3">
      <c r="B79" s="27">
        <v>12200</v>
      </c>
      <c r="Z79" s="24">
        <v>16500</v>
      </c>
      <c r="AA79" s="17">
        <v>-525</v>
      </c>
      <c r="AB79" s="17">
        <v>27</v>
      </c>
      <c r="AC79" s="17">
        <v>25.55</v>
      </c>
      <c r="AD79" s="17">
        <v>0.6</v>
      </c>
      <c r="AE79" s="17">
        <v>-0.4</v>
      </c>
      <c r="AF79" s="18">
        <v>12200</v>
      </c>
      <c r="AG79" s="17" t="s">
        <v>12</v>
      </c>
      <c r="AH79" s="17">
        <v>1685.35</v>
      </c>
      <c r="AI79" s="17" t="s">
        <v>12</v>
      </c>
      <c r="AJ79" s="17" t="s">
        <v>12</v>
      </c>
      <c r="AK79" s="17" t="s">
        <v>12</v>
      </c>
      <c r="AL79" s="20">
        <v>28950</v>
      </c>
    </row>
    <row r="80" spans="2:38" x14ac:dyDescent="0.3">
      <c r="B80" s="27">
        <v>12250</v>
      </c>
      <c r="Z80" s="12">
        <v>150</v>
      </c>
      <c r="AA80" s="13" t="s">
        <v>12</v>
      </c>
      <c r="AB80" s="13" t="s">
        <v>12</v>
      </c>
      <c r="AC80" s="13" t="s">
        <v>12</v>
      </c>
      <c r="AD80" s="13">
        <v>5.5</v>
      </c>
      <c r="AE80" s="13" t="s">
        <v>12</v>
      </c>
      <c r="AF80" s="14">
        <v>12250</v>
      </c>
      <c r="AG80" s="13" t="s">
        <v>12</v>
      </c>
      <c r="AH80" s="13" t="s">
        <v>12</v>
      </c>
      <c r="AI80" s="13" t="s">
        <v>12</v>
      </c>
      <c r="AJ80" s="13" t="s">
        <v>12</v>
      </c>
      <c r="AK80" s="13" t="s">
        <v>12</v>
      </c>
      <c r="AL80" s="15" t="s">
        <v>12</v>
      </c>
    </row>
    <row r="81" spans="2:38" x14ac:dyDescent="0.3">
      <c r="B81" s="27">
        <v>12300</v>
      </c>
      <c r="Z81" s="24">
        <v>5475</v>
      </c>
      <c r="AA81" s="17" t="s">
        <v>12</v>
      </c>
      <c r="AB81" s="17" t="s">
        <v>12</v>
      </c>
      <c r="AC81" s="17" t="s">
        <v>12</v>
      </c>
      <c r="AD81" s="17">
        <v>0.8</v>
      </c>
      <c r="AE81" s="17" t="s">
        <v>12</v>
      </c>
      <c r="AF81" s="18">
        <v>12300</v>
      </c>
      <c r="AG81" s="17" t="s">
        <v>12</v>
      </c>
      <c r="AH81" s="17" t="s">
        <v>12</v>
      </c>
      <c r="AI81" s="17" t="s">
        <v>12</v>
      </c>
      <c r="AJ81" s="17" t="s">
        <v>12</v>
      </c>
      <c r="AK81" s="17" t="s">
        <v>12</v>
      </c>
      <c r="AL81" s="19" t="s">
        <v>12</v>
      </c>
    </row>
    <row r="82" spans="2:38" x14ac:dyDescent="0.3">
      <c r="B82" s="27">
        <v>12350</v>
      </c>
      <c r="Z82" s="12">
        <v>75</v>
      </c>
      <c r="AA82" s="13" t="s">
        <v>12</v>
      </c>
      <c r="AB82" s="13" t="s">
        <v>12</v>
      </c>
      <c r="AC82" s="13" t="s">
        <v>12</v>
      </c>
      <c r="AD82" s="13">
        <v>9</v>
      </c>
      <c r="AE82" s="13" t="s">
        <v>12</v>
      </c>
      <c r="AF82" s="14">
        <v>12350</v>
      </c>
      <c r="AG82" s="13" t="s">
        <v>12</v>
      </c>
      <c r="AH82" s="13" t="s">
        <v>12</v>
      </c>
      <c r="AI82" s="13" t="s">
        <v>12</v>
      </c>
      <c r="AJ82" s="13" t="s">
        <v>12</v>
      </c>
      <c r="AK82" s="13" t="s">
        <v>12</v>
      </c>
      <c r="AL82" s="15" t="s">
        <v>12</v>
      </c>
    </row>
    <row r="83" spans="2:38" x14ac:dyDescent="0.3">
      <c r="B83" s="27">
        <v>12400</v>
      </c>
      <c r="Z83" s="24">
        <v>1575</v>
      </c>
      <c r="AA83" s="17" t="s">
        <v>12</v>
      </c>
      <c r="AB83" s="17">
        <v>2</v>
      </c>
      <c r="AC83" s="17">
        <v>28.92</v>
      </c>
      <c r="AD83" s="17">
        <v>0.75</v>
      </c>
      <c r="AE83" s="17">
        <v>-0.5</v>
      </c>
      <c r="AF83" s="18">
        <v>12400</v>
      </c>
      <c r="AG83" s="17">
        <v>1170.45</v>
      </c>
      <c r="AH83" s="17">
        <v>1749.3</v>
      </c>
      <c r="AI83" s="17">
        <v>42.8</v>
      </c>
      <c r="AJ83" s="17">
        <v>1</v>
      </c>
      <c r="AK83" s="17">
        <v>75</v>
      </c>
      <c r="AL83" s="19">
        <v>75</v>
      </c>
    </row>
    <row r="84" spans="2:38" x14ac:dyDescent="0.3">
      <c r="B84" s="27">
        <v>12450</v>
      </c>
      <c r="Z84" s="12">
        <v>75</v>
      </c>
      <c r="AA84" s="13">
        <v>-75</v>
      </c>
      <c r="AB84" s="13">
        <v>1</v>
      </c>
      <c r="AC84" s="13">
        <v>28.43</v>
      </c>
      <c r="AD84" s="13">
        <v>0.5</v>
      </c>
      <c r="AE84" s="13">
        <v>-2.5</v>
      </c>
      <c r="AF84" s="14">
        <v>12450</v>
      </c>
      <c r="AG84" s="13" t="s">
        <v>12</v>
      </c>
      <c r="AH84" s="13" t="s">
        <v>12</v>
      </c>
      <c r="AI84" s="13" t="s">
        <v>12</v>
      </c>
      <c r="AJ84" s="13" t="s">
        <v>12</v>
      </c>
      <c r="AK84" s="13" t="s">
        <v>12</v>
      </c>
      <c r="AL84" s="15" t="s">
        <v>12</v>
      </c>
    </row>
    <row r="85" spans="2:38" x14ac:dyDescent="0.3">
      <c r="B85" s="27">
        <v>12500</v>
      </c>
      <c r="Z85" s="24">
        <v>101100</v>
      </c>
      <c r="AA85" s="17">
        <v>6300</v>
      </c>
      <c r="AB85" s="17">
        <v>2503</v>
      </c>
      <c r="AC85" s="17">
        <v>30.49</v>
      </c>
      <c r="AD85" s="17">
        <v>0.8</v>
      </c>
      <c r="AE85" s="17">
        <v>-0.1</v>
      </c>
      <c r="AF85" s="18">
        <v>12500</v>
      </c>
      <c r="AG85" s="17">
        <v>-40.700000000000003</v>
      </c>
      <c r="AH85" s="17">
        <v>1842.6</v>
      </c>
      <c r="AI85" s="17">
        <v>40.18</v>
      </c>
      <c r="AJ85" s="17">
        <v>46</v>
      </c>
      <c r="AK85" s="17">
        <v>-2400</v>
      </c>
      <c r="AL85" s="20">
        <v>342900</v>
      </c>
    </row>
    <row r="86" spans="2:38" x14ac:dyDescent="0.3">
      <c r="B86" s="27">
        <v>12550</v>
      </c>
      <c r="Z86" s="12">
        <v>825</v>
      </c>
      <c r="AA86" s="13">
        <v>75</v>
      </c>
      <c r="AB86" s="13">
        <v>1</v>
      </c>
      <c r="AC86" s="13">
        <v>36.29</v>
      </c>
      <c r="AD86" s="13">
        <v>3</v>
      </c>
      <c r="AE86" s="13" t="s">
        <v>12</v>
      </c>
      <c r="AF86" s="14">
        <v>12550</v>
      </c>
      <c r="AG86" s="13" t="s">
        <v>12</v>
      </c>
      <c r="AH86" s="13" t="s">
        <v>12</v>
      </c>
      <c r="AI86" s="13" t="s">
        <v>12</v>
      </c>
      <c r="AJ86" s="13" t="s">
        <v>12</v>
      </c>
      <c r="AK86" s="13" t="s">
        <v>12</v>
      </c>
      <c r="AL86" s="15" t="s">
        <v>12</v>
      </c>
    </row>
    <row r="87" spans="2:38" x14ac:dyDescent="0.3">
      <c r="B87" s="27">
        <v>12600</v>
      </c>
      <c r="Z87" s="24">
        <v>1275</v>
      </c>
      <c r="AA87" s="17" t="s">
        <v>12</v>
      </c>
      <c r="AB87" s="17">
        <v>8</v>
      </c>
      <c r="AC87" s="17">
        <v>32.590000000000003</v>
      </c>
      <c r="AD87" s="17">
        <v>1</v>
      </c>
      <c r="AE87" s="17" t="s">
        <v>12</v>
      </c>
      <c r="AF87" s="18">
        <v>12600</v>
      </c>
      <c r="AG87" s="17" t="s">
        <v>12</v>
      </c>
      <c r="AH87" s="17">
        <v>2370</v>
      </c>
      <c r="AI87" s="17" t="s">
        <v>12</v>
      </c>
      <c r="AJ87" s="17" t="s">
        <v>12</v>
      </c>
      <c r="AK87" s="17" t="s">
        <v>12</v>
      </c>
      <c r="AL87" s="19">
        <v>75</v>
      </c>
    </row>
    <row r="88" spans="2:38" x14ac:dyDescent="0.3">
      <c r="B88" s="27">
        <v>12650</v>
      </c>
      <c r="Z88" s="12" t="s">
        <v>12</v>
      </c>
      <c r="AA88" s="13" t="s">
        <v>12</v>
      </c>
      <c r="AB88" s="13" t="s">
        <v>12</v>
      </c>
      <c r="AC88" s="13" t="s">
        <v>12</v>
      </c>
      <c r="AD88" s="13" t="s">
        <v>12</v>
      </c>
      <c r="AE88" s="13" t="s">
        <v>12</v>
      </c>
      <c r="AF88" s="14">
        <v>12650</v>
      </c>
      <c r="AG88" s="13" t="s">
        <v>12</v>
      </c>
      <c r="AH88" s="13" t="s">
        <v>12</v>
      </c>
      <c r="AI88" s="13" t="s">
        <v>12</v>
      </c>
      <c r="AJ88" s="13" t="s">
        <v>12</v>
      </c>
      <c r="AK88" s="13" t="s">
        <v>12</v>
      </c>
      <c r="AL88" s="15" t="s">
        <v>12</v>
      </c>
    </row>
    <row r="89" spans="2:38" x14ac:dyDescent="0.3">
      <c r="B89" s="27">
        <v>12700</v>
      </c>
      <c r="Z89" s="24">
        <v>7650</v>
      </c>
      <c r="AA89" s="17" t="s">
        <v>12</v>
      </c>
      <c r="AB89" s="17" t="s">
        <v>12</v>
      </c>
      <c r="AC89" s="17" t="s">
        <v>12</v>
      </c>
      <c r="AD89" s="17">
        <v>0.35</v>
      </c>
      <c r="AE89" s="17" t="s">
        <v>12</v>
      </c>
      <c r="AF89" s="18">
        <v>12700</v>
      </c>
      <c r="AG89" s="17" t="s">
        <v>12</v>
      </c>
      <c r="AH89" s="17" t="s">
        <v>12</v>
      </c>
      <c r="AI89" s="17" t="s">
        <v>12</v>
      </c>
      <c r="AJ89" s="17" t="s">
        <v>12</v>
      </c>
      <c r="AK89" s="17" t="s">
        <v>12</v>
      </c>
      <c r="AL89" s="19" t="s">
        <v>12</v>
      </c>
    </row>
    <row r="90" spans="2:38" x14ac:dyDescent="0.3">
      <c r="B90" s="27">
        <v>12750</v>
      </c>
      <c r="Z90" s="12" t="s">
        <v>12</v>
      </c>
      <c r="AA90" s="13" t="s">
        <v>12</v>
      </c>
      <c r="AB90" s="13" t="s">
        <v>12</v>
      </c>
      <c r="AC90" s="13" t="s">
        <v>12</v>
      </c>
      <c r="AD90" s="13" t="s">
        <v>12</v>
      </c>
      <c r="AE90" s="13" t="s">
        <v>12</v>
      </c>
      <c r="AF90" s="14">
        <v>12750</v>
      </c>
      <c r="AG90" s="13" t="s">
        <v>12</v>
      </c>
      <c r="AH90" s="13" t="s">
        <v>12</v>
      </c>
      <c r="AI90" s="13" t="s">
        <v>12</v>
      </c>
      <c r="AJ90" s="13" t="s">
        <v>12</v>
      </c>
      <c r="AK90" s="13" t="s">
        <v>12</v>
      </c>
      <c r="AL90" s="15" t="s">
        <v>12</v>
      </c>
    </row>
    <row r="91" spans="2:38" x14ac:dyDescent="0.3">
      <c r="B91" s="27">
        <v>12800</v>
      </c>
      <c r="Z91" s="24">
        <v>1200</v>
      </c>
      <c r="AA91" s="17" t="s">
        <v>12</v>
      </c>
      <c r="AB91" s="17" t="s">
        <v>12</v>
      </c>
      <c r="AC91" s="17" t="s">
        <v>12</v>
      </c>
      <c r="AD91" s="17">
        <v>0.45</v>
      </c>
      <c r="AE91" s="17" t="s">
        <v>12</v>
      </c>
      <c r="AF91" s="18">
        <v>12800</v>
      </c>
      <c r="AG91" s="17" t="s">
        <v>12</v>
      </c>
      <c r="AH91" s="17">
        <v>2600</v>
      </c>
      <c r="AI91" s="17" t="s">
        <v>12</v>
      </c>
      <c r="AJ91" s="17" t="s">
        <v>12</v>
      </c>
      <c r="AK91" s="17" t="s">
        <v>12</v>
      </c>
      <c r="AL91" s="19">
        <v>675</v>
      </c>
    </row>
    <row r="92" spans="2:38" x14ac:dyDescent="0.3">
      <c r="B92" s="27">
        <v>12850</v>
      </c>
      <c r="Z92" s="12" t="s">
        <v>12</v>
      </c>
      <c r="AA92" s="13" t="s">
        <v>12</v>
      </c>
      <c r="AB92" s="13" t="s">
        <v>12</v>
      </c>
      <c r="AC92" s="13" t="s">
        <v>12</v>
      </c>
      <c r="AD92" s="13" t="s">
        <v>12</v>
      </c>
      <c r="AE92" s="13" t="s">
        <v>12</v>
      </c>
      <c r="AF92" s="14">
        <v>12850</v>
      </c>
      <c r="AG92" s="13" t="s">
        <v>12</v>
      </c>
      <c r="AH92" s="13" t="s">
        <v>12</v>
      </c>
      <c r="AI92" s="13" t="s">
        <v>12</v>
      </c>
      <c r="AJ92" s="13" t="s">
        <v>12</v>
      </c>
      <c r="AK92" s="13" t="s">
        <v>12</v>
      </c>
      <c r="AL92" s="15" t="s">
        <v>12</v>
      </c>
    </row>
    <row r="93" spans="2:38" x14ac:dyDescent="0.3">
      <c r="B93" s="27">
        <v>12900</v>
      </c>
      <c r="Z93" s="24">
        <v>1875</v>
      </c>
      <c r="AA93" s="17" t="s">
        <v>12</v>
      </c>
      <c r="AB93" s="17" t="s">
        <v>12</v>
      </c>
      <c r="AC93" s="17" t="s">
        <v>12</v>
      </c>
      <c r="AD93" s="17">
        <v>0.85</v>
      </c>
      <c r="AE93" s="17" t="s">
        <v>12</v>
      </c>
      <c r="AF93" s="18">
        <v>12900</v>
      </c>
      <c r="AG93" s="17" t="s">
        <v>12</v>
      </c>
      <c r="AH93" s="17" t="s">
        <v>12</v>
      </c>
      <c r="AI93" s="17" t="s">
        <v>12</v>
      </c>
      <c r="AJ93" s="17" t="s">
        <v>12</v>
      </c>
      <c r="AK93" s="17" t="s">
        <v>12</v>
      </c>
      <c r="AL93" s="19" t="s">
        <v>12</v>
      </c>
    </row>
    <row r="94" spans="2:38" x14ac:dyDescent="0.3">
      <c r="B94" s="27">
        <v>12950</v>
      </c>
      <c r="Z94" s="12">
        <v>375</v>
      </c>
      <c r="AA94" s="13" t="s">
        <v>12</v>
      </c>
      <c r="AB94" s="13" t="s">
        <v>12</v>
      </c>
      <c r="AC94" s="13" t="s">
        <v>12</v>
      </c>
      <c r="AD94" s="13">
        <v>2.5</v>
      </c>
      <c r="AE94" s="13" t="s">
        <v>12</v>
      </c>
      <c r="AF94" s="14">
        <v>12950</v>
      </c>
      <c r="AG94" s="13" t="s">
        <v>12</v>
      </c>
      <c r="AH94" s="13" t="s">
        <v>12</v>
      </c>
      <c r="AI94" s="13" t="s">
        <v>12</v>
      </c>
      <c r="AJ94" s="13" t="s">
        <v>12</v>
      </c>
      <c r="AK94" s="13" t="s">
        <v>12</v>
      </c>
      <c r="AL94" s="15" t="s">
        <v>12</v>
      </c>
    </row>
    <row r="95" spans="2:38" x14ac:dyDescent="0.3">
      <c r="B95" s="27">
        <v>13000</v>
      </c>
      <c r="Z95" s="24">
        <v>114675</v>
      </c>
      <c r="AA95" s="17">
        <v>-225</v>
      </c>
      <c r="AB95" s="17">
        <v>3824</v>
      </c>
      <c r="AC95" s="17">
        <v>36.840000000000003</v>
      </c>
      <c r="AD95" s="17">
        <v>0.75</v>
      </c>
      <c r="AE95" s="17">
        <v>-0.05</v>
      </c>
      <c r="AF95" s="18">
        <v>13000</v>
      </c>
      <c r="AG95" s="17">
        <v>-30</v>
      </c>
      <c r="AH95" s="17">
        <v>2356.4499999999998</v>
      </c>
      <c r="AI95" s="17">
        <v>58.67</v>
      </c>
      <c r="AJ95" s="17">
        <v>119</v>
      </c>
      <c r="AK95" s="17">
        <v>-3300</v>
      </c>
      <c r="AL95" s="20">
        <v>253425</v>
      </c>
    </row>
    <row r="96" spans="2:38" x14ac:dyDescent="0.3">
      <c r="B96" s="27">
        <v>13050</v>
      </c>
      <c r="Z96" s="12" t="s">
        <v>12</v>
      </c>
      <c r="AA96" s="13" t="s">
        <v>12</v>
      </c>
      <c r="AB96" s="13" t="s">
        <v>12</v>
      </c>
      <c r="AC96" s="13" t="s">
        <v>12</v>
      </c>
      <c r="AD96" s="13" t="s">
        <v>12</v>
      </c>
      <c r="AE96" s="13" t="s">
        <v>12</v>
      </c>
      <c r="AF96" s="14">
        <v>13050</v>
      </c>
      <c r="AG96" s="13" t="s">
        <v>12</v>
      </c>
      <c r="AH96" s="13" t="s">
        <v>12</v>
      </c>
      <c r="AI96" s="13" t="s">
        <v>12</v>
      </c>
      <c r="AJ96" s="13" t="s">
        <v>12</v>
      </c>
      <c r="AK96" s="13" t="s">
        <v>12</v>
      </c>
      <c r="AL96" s="15" t="s">
        <v>12</v>
      </c>
    </row>
    <row r="97" spans="2:38" x14ac:dyDescent="0.3">
      <c r="B97" s="27">
        <v>13100</v>
      </c>
      <c r="Z97" s="24">
        <v>3900</v>
      </c>
      <c r="AA97" s="17" t="s">
        <v>12</v>
      </c>
      <c r="AB97" s="17">
        <v>4</v>
      </c>
      <c r="AC97" s="17">
        <v>35.03</v>
      </c>
      <c r="AD97" s="17">
        <v>0.3</v>
      </c>
      <c r="AE97" s="17">
        <v>-0.3</v>
      </c>
      <c r="AF97" s="18">
        <v>13100</v>
      </c>
      <c r="AG97" s="17" t="s">
        <v>12</v>
      </c>
      <c r="AH97" s="17" t="s">
        <v>12</v>
      </c>
      <c r="AI97" s="17" t="s">
        <v>12</v>
      </c>
      <c r="AJ97" s="17" t="s">
        <v>12</v>
      </c>
      <c r="AK97" s="17" t="s">
        <v>12</v>
      </c>
      <c r="AL97" s="19" t="s">
        <v>12</v>
      </c>
    </row>
    <row r="98" spans="2:38" x14ac:dyDescent="0.3">
      <c r="B98" s="27">
        <v>13150</v>
      </c>
      <c r="Z98" s="23">
        <v>7650</v>
      </c>
      <c r="AA98" s="13" t="s">
        <v>12</v>
      </c>
      <c r="AB98" s="13" t="s">
        <v>12</v>
      </c>
      <c r="AC98" s="13" t="s">
        <v>12</v>
      </c>
      <c r="AD98" s="13">
        <v>2.6</v>
      </c>
      <c r="AE98" s="13" t="s">
        <v>12</v>
      </c>
      <c r="AF98" s="14">
        <v>13150</v>
      </c>
      <c r="AG98" s="13" t="s">
        <v>12</v>
      </c>
      <c r="AH98" s="13" t="s">
        <v>12</v>
      </c>
      <c r="AI98" s="13" t="s">
        <v>12</v>
      </c>
      <c r="AJ98" s="13" t="s">
        <v>12</v>
      </c>
      <c r="AK98" s="13" t="s">
        <v>12</v>
      </c>
      <c r="AL98" s="15" t="s">
        <v>12</v>
      </c>
    </row>
    <row r="99" spans="2:38" x14ac:dyDescent="0.3">
      <c r="B99" s="27">
        <v>13200</v>
      </c>
      <c r="Z99" s="25">
        <v>5025</v>
      </c>
      <c r="AA99" s="7">
        <v>75</v>
      </c>
      <c r="AB99" s="7">
        <v>4</v>
      </c>
      <c r="AC99" s="7">
        <v>39.35</v>
      </c>
      <c r="AD99" s="7">
        <v>0.75</v>
      </c>
      <c r="AE99" s="7">
        <v>-0.15</v>
      </c>
      <c r="AF99" s="8">
        <v>13200</v>
      </c>
      <c r="AG99" s="7">
        <v>-34.65</v>
      </c>
      <c r="AH99" s="7">
        <v>2535</v>
      </c>
      <c r="AI99" s="7">
        <v>44.19</v>
      </c>
      <c r="AJ99" s="7">
        <v>5</v>
      </c>
      <c r="AK99" s="7">
        <v>-225</v>
      </c>
      <c r="AL99" s="22">
        <v>4500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84CC1B5-BFB1-4380-90FA-E3B422E91A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Kadoo, Akshay</dc:creator>
  <cp:lastModifiedBy>Kadoo, Akshay</cp:lastModifiedBy>
  <dcterms:created xsi:type="dcterms:W3CDTF">2018-11-15T06:46:39Z</dcterms:created>
  <dcterms:modified xsi:type="dcterms:W3CDTF">2018-12-11T11:30:15Z</dcterms:modified>
</cp:coreProperties>
</file>