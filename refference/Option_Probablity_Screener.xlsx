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.Kadoo\Desktop\Stock-Analysis_SwingTrading\"/>
    </mc:Choice>
  </mc:AlternateContent>
  <xr:revisionPtr revIDLastSave="0" documentId="10_ncr:100000_{2B932650-10A3-4DBD-84DF-2EC91AA2B95C}" xr6:coauthVersionLast="31" xr6:coauthVersionMax="31" xr10:uidLastSave="{00000000-0000-0000-0000-000000000000}"/>
  <bookViews>
    <workbookView xWindow="0" yWindow="0" windowWidth="23040" windowHeight="9468" xr2:uid="{AC132DEF-912F-40FD-B891-CA3AB0F0F303}"/>
  </bookViews>
  <sheets>
    <sheet name="Screener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I33" i="1"/>
  <c r="J33" i="1"/>
  <c r="K33" i="1"/>
  <c r="L33" i="1"/>
  <c r="I34" i="1"/>
  <c r="J34" i="1"/>
  <c r="K34" i="1"/>
  <c r="L34" i="1"/>
  <c r="I35" i="1"/>
  <c r="J35" i="1"/>
  <c r="K35" i="1"/>
  <c r="L35" i="1"/>
  <c r="I36" i="1"/>
  <c r="J36" i="1"/>
  <c r="K36" i="1"/>
  <c r="L36" i="1"/>
  <c r="I37" i="1"/>
  <c r="J37" i="1"/>
  <c r="K37" i="1"/>
  <c r="L37" i="1"/>
  <c r="I38" i="1"/>
  <c r="J38" i="1"/>
  <c r="K38" i="1"/>
  <c r="L38" i="1"/>
  <c r="I39" i="1"/>
  <c r="J39" i="1"/>
  <c r="K39" i="1"/>
  <c r="L39" i="1"/>
  <c r="I40" i="1"/>
  <c r="J40" i="1"/>
  <c r="K40" i="1"/>
  <c r="L40" i="1"/>
  <c r="I41" i="1"/>
  <c r="J41" i="1"/>
  <c r="K41" i="1"/>
  <c r="L41" i="1"/>
  <c r="I42" i="1"/>
  <c r="J42" i="1"/>
  <c r="K42" i="1"/>
  <c r="L42" i="1"/>
  <c r="I43" i="1"/>
  <c r="J43" i="1"/>
  <c r="K43" i="1"/>
  <c r="L43" i="1"/>
  <c r="I44" i="1"/>
  <c r="J44" i="1"/>
  <c r="K44" i="1"/>
  <c r="L44" i="1"/>
  <c r="I45" i="1"/>
  <c r="J45" i="1"/>
  <c r="K45" i="1"/>
  <c r="L45" i="1"/>
  <c r="I46" i="1"/>
  <c r="J46" i="1"/>
  <c r="K46" i="1"/>
  <c r="L46" i="1"/>
  <c r="I47" i="1"/>
  <c r="J47" i="1"/>
  <c r="K47" i="1"/>
  <c r="L47" i="1"/>
  <c r="I48" i="1"/>
  <c r="J48" i="1"/>
  <c r="K48" i="1"/>
  <c r="L48" i="1"/>
  <c r="I49" i="1"/>
  <c r="J49" i="1"/>
  <c r="K49" i="1"/>
  <c r="L49" i="1"/>
  <c r="I50" i="1"/>
  <c r="J50" i="1"/>
  <c r="K50" i="1"/>
  <c r="L50" i="1"/>
  <c r="I51" i="1"/>
  <c r="J51" i="1"/>
  <c r="K51" i="1"/>
  <c r="L51" i="1"/>
  <c r="I52" i="1"/>
  <c r="J52" i="1"/>
  <c r="K52" i="1"/>
  <c r="L52" i="1"/>
  <c r="I53" i="1"/>
  <c r="J53" i="1"/>
  <c r="K53" i="1"/>
  <c r="L53" i="1"/>
  <c r="I54" i="1"/>
  <c r="J54" i="1"/>
  <c r="K54" i="1"/>
  <c r="L54" i="1"/>
  <c r="I55" i="1"/>
  <c r="J55" i="1"/>
  <c r="K55" i="1"/>
  <c r="L55" i="1"/>
  <c r="I56" i="1"/>
  <c r="J56" i="1"/>
  <c r="K56" i="1"/>
  <c r="L56" i="1"/>
  <c r="I57" i="1"/>
  <c r="J57" i="1"/>
  <c r="K57" i="1"/>
  <c r="L57" i="1"/>
  <c r="I58" i="1"/>
  <c r="J58" i="1"/>
  <c r="K58" i="1"/>
  <c r="L58" i="1"/>
  <c r="I59" i="1"/>
  <c r="J59" i="1"/>
  <c r="K59" i="1"/>
  <c r="L59" i="1"/>
  <c r="I60" i="1"/>
  <c r="J60" i="1"/>
  <c r="K60" i="1"/>
  <c r="L60" i="1"/>
  <c r="I61" i="1"/>
  <c r="J61" i="1"/>
  <c r="K61" i="1"/>
  <c r="L61" i="1"/>
  <c r="I62" i="1"/>
  <c r="J62" i="1"/>
  <c r="K62" i="1"/>
  <c r="L62" i="1"/>
  <c r="I63" i="1"/>
  <c r="J63" i="1"/>
  <c r="K63" i="1"/>
  <c r="L63" i="1"/>
  <c r="I64" i="1"/>
  <c r="J64" i="1"/>
  <c r="K64" i="1"/>
  <c r="L64" i="1"/>
  <c r="I65" i="1"/>
  <c r="J65" i="1"/>
  <c r="K65" i="1"/>
  <c r="L65" i="1"/>
  <c r="I66" i="1"/>
  <c r="J66" i="1"/>
  <c r="K66" i="1"/>
  <c r="L66" i="1"/>
  <c r="I67" i="1"/>
  <c r="J67" i="1"/>
  <c r="K67" i="1"/>
  <c r="L67" i="1"/>
  <c r="I68" i="1"/>
  <c r="J68" i="1"/>
  <c r="K68" i="1"/>
  <c r="L68" i="1"/>
  <c r="I69" i="1"/>
  <c r="J69" i="1"/>
  <c r="K69" i="1"/>
  <c r="L69" i="1"/>
  <c r="I70" i="1"/>
  <c r="J70" i="1"/>
  <c r="K70" i="1"/>
  <c r="L70" i="1"/>
  <c r="I71" i="1"/>
  <c r="J71" i="1"/>
  <c r="K71" i="1"/>
  <c r="L71" i="1"/>
  <c r="I72" i="1"/>
  <c r="J72" i="1"/>
  <c r="K72" i="1"/>
  <c r="L72" i="1"/>
  <c r="I73" i="1"/>
  <c r="J73" i="1"/>
  <c r="K73" i="1"/>
  <c r="L73" i="1"/>
  <c r="I74" i="1"/>
  <c r="J74" i="1"/>
  <c r="K74" i="1"/>
  <c r="L74" i="1"/>
  <c r="I75" i="1"/>
  <c r="J75" i="1"/>
  <c r="K75" i="1"/>
  <c r="L75" i="1"/>
  <c r="I76" i="1"/>
  <c r="J76" i="1"/>
  <c r="K76" i="1"/>
  <c r="L76" i="1"/>
  <c r="I77" i="1"/>
  <c r="J77" i="1"/>
  <c r="K77" i="1"/>
  <c r="L77" i="1"/>
  <c r="I78" i="1"/>
  <c r="J78" i="1"/>
  <c r="K78" i="1"/>
  <c r="L78" i="1"/>
  <c r="I79" i="1"/>
  <c r="J79" i="1"/>
  <c r="K79" i="1"/>
  <c r="L79" i="1"/>
  <c r="I80" i="1"/>
  <c r="J80" i="1"/>
  <c r="K80" i="1"/>
  <c r="L80" i="1"/>
  <c r="I81" i="1"/>
  <c r="J81" i="1"/>
  <c r="K81" i="1"/>
  <c r="L81" i="1"/>
  <c r="I82" i="1"/>
  <c r="J82" i="1"/>
  <c r="K82" i="1"/>
  <c r="L82" i="1"/>
  <c r="I83" i="1"/>
  <c r="J83" i="1"/>
  <c r="K83" i="1"/>
  <c r="L83" i="1"/>
  <c r="I84" i="1"/>
  <c r="J84" i="1"/>
  <c r="K84" i="1"/>
  <c r="L84" i="1"/>
  <c r="I85" i="1"/>
  <c r="J85" i="1"/>
  <c r="K85" i="1"/>
  <c r="L85" i="1"/>
  <c r="I86" i="1"/>
  <c r="J86" i="1"/>
  <c r="K86" i="1"/>
  <c r="L86" i="1"/>
  <c r="I87" i="1"/>
  <c r="J87" i="1"/>
  <c r="K87" i="1"/>
  <c r="L87" i="1"/>
  <c r="I88" i="1"/>
  <c r="J88" i="1"/>
  <c r="K88" i="1"/>
  <c r="L88" i="1"/>
  <c r="I89" i="1"/>
  <c r="J89" i="1"/>
  <c r="K89" i="1"/>
  <c r="L89" i="1"/>
  <c r="I90" i="1"/>
  <c r="J90" i="1"/>
  <c r="K90" i="1"/>
  <c r="L90" i="1"/>
  <c r="I91" i="1"/>
  <c r="J91" i="1"/>
  <c r="K91" i="1"/>
  <c r="L91" i="1"/>
  <c r="I92" i="1"/>
  <c r="J92" i="1"/>
  <c r="K92" i="1"/>
  <c r="L92" i="1"/>
  <c r="I93" i="1"/>
  <c r="J93" i="1"/>
  <c r="K93" i="1"/>
  <c r="L93" i="1"/>
  <c r="I94" i="1"/>
  <c r="J94" i="1"/>
  <c r="K94" i="1"/>
  <c r="L94" i="1"/>
  <c r="I95" i="1"/>
  <c r="J95" i="1"/>
  <c r="K95" i="1"/>
  <c r="L95" i="1"/>
  <c r="I96" i="1"/>
  <c r="J96" i="1"/>
  <c r="K96" i="1"/>
  <c r="L96" i="1"/>
  <c r="I97" i="1"/>
  <c r="J97" i="1"/>
  <c r="K97" i="1"/>
  <c r="L97" i="1"/>
  <c r="I98" i="1"/>
  <c r="J98" i="1"/>
  <c r="K98" i="1"/>
  <c r="L98" i="1"/>
  <c r="I99" i="1"/>
  <c r="J99" i="1"/>
  <c r="K99" i="1"/>
  <c r="L99" i="1"/>
  <c r="I100" i="1"/>
  <c r="J100" i="1"/>
  <c r="K100" i="1"/>
  <c r="L100" i="1"/>
  <c r="I101" i="1"/>
  <c r="J101" i="1"/>
  <c r="K101" i="1"/>
  <c r="L101" i="1"/>
  <c r="I102" i="1"/>
  <c r="J102" i="1"/>
  <c r="K102" i="1"/>
  <c r="L102" i="1"/>
  <c r="I103" i="1"/>
  <c r="J103" i="1"/>
  <c r="K103" i="1"/>
  <c r="L103" i="1"/>
  <c r="I104" i="1"/>
  <c r="J104" i="1"/>
  <c r="K104" i="1"/>
  <c r="L104" i="1"/>
  <c r="I105" i="1"/>
  <c r="J105" i="1"/>
  <c r="K105" i="1"/>
  <c r="L105" i="1"/>
  <c r="I106" i="1"/>
  <c r="J106" i="1"/>
  <c r="K106" i="1"/>
  <c r="L106" i="1"/>
  <c r="I107" i="1"/>
  <c r="J107" i="1"/>
  <c r="K107" i="1"/>
  <c r="L107" i="1"/>
  <c r="I108" i="1"/>
  <c r="J108" i="1"/>
  <c r="K108" i="1"/>
  <c r="L108" i="1"/>
  <c r="I109" i="1"/>
  <c r="J109" i="1"/>
  <c r="K109" i="1"/>
  <c r="L109" i="1"/>
  <c r="I110" i="1"/>
  <c r="J110" i="1"/>
  <c r="K110" i="1"/>
  <c r="L110" i="1"/>
  <c r="I111" i="1"/>
  <c r="J111" i="1"/>
  <c r="K111" i="1"/>
  <c r="L111" i="1"/>
  <c r="I112" i="1"/>
  <c r="J112" i="1"/>
  <c r="K112" i="1"/>
  <c r="L112" i="1"/>
  <c r="I113" i="1"/>
  <c r="J113" i="1"/>
  <c r="K113" i="1"/>
  <c r="L113" i="1"/>
  <c r="I114" i="1"/>
  <c r="J114" i="1"/>
  <c r="K114" i="1"/>
  <c r="L114" i="1"/>
  <c r="I115" i="1"/>
  <c r="J115" i="1"/>
  <c r="K115" i="1"/>
  <c r="L115" i="1"/>
  <c r="I116" i="1"/>
  <c r="J116" i="1"/>
  <c r="K116" i="1"/>
  <c r="L116" i="1"/>
  <c r="I117" i="1"/>
  <c r="J117" i="1"/>
  <c r="K117" i="1"/>
  <c r="L117" i="1"/>
  <c r="I118" i="1"/>
  <c r="J118" i="1"/>
  <c r="K118" i="1"/>
  <c r="L118" i="1"/>
  <c r="I119" i="1"/>
  <c r="J119" i="1"/>
  <c r="K119" i="1"/>
  <c r="L119" i="1"/>
  <c r="I120" i="1"/>
  <c r="J120" i="1"/>
  <c r="K120" i="1"/>
  <c r="L120" i="1"/>
  <c r="I121" i="1"/>
  <c r="J121" i="1"/>
  <c r="K121" i="1"/>
  <c r="L121" i="1"/>
  <c r="I122" i="1"/>
  <c r="J122" i="1"/>
  <c r="K122" i="1"/>
  <c r="L122" i="1"/>
  <c r="I123" i="1"/>
  <c r="J123" i="1"/>
  <c r="K123" i="1"/>
  <c r="L123" i="1"/>
  <c r="I124" i="1"/>
  <c r="J124" i="1"/>
  <c r="K124" i="1"/>
  <c r="L124" i="1"/>
  <c r="I125" i="1"/>
  <c r="J125" i="1"/>
  <c r="K125" i="1"/>
  <c r="L125" i="1"/>
  <c r="I126" i="1"/>
  <c r="J126" i="1"/>
  <c r="K126" i="1"/>
  <c r="L126" i="1"/>
  <c r="I127" i="1"/>
  <c r="J127" i="1"/>
  <c r="K127" i="1"/>
  <c r="L127" i="1"/>
  <c r="I128" i="1"/>
  <c r="J128" i="1"/>
  <c r="K128" i="1"/>
  <c r="L128" i="1"/>
  <c r="I129" i="1"/>
  <c r="J129" i="1"/>
  <c r="K129" i="1"/>
  <c r="L129" i="1"/>
  <c r="I130" i="1"/>
  <c r="J130" i="1"/>
  <c r="K130" i="1"/>
  <c r="L130" i="1"/>
  <c r="I131" i="1"/>
  <c r="J131" i="1"/>
  <c r="K131" i="1"/>
  <c r="L131" i="1"/>
  <c r="I132" i="1"/>
  <c r="J132" i="1"/>
  <c r="K132" i="1"/>
  <c r="L132" i="1"/>
  <c r="I133" i="1"/>
  <c r="J133" i="1"/>
  <c r="K133" i="1"/>
  <c r="L133" i="1"/>
  <c r="I134" i="1"/>
  <c r="J134" i="1"/>
  <c r="K134" i="1"/>
  <c r="L134" i="1"/>
  <c r="I135" i="1"/>
  <c r="J135" i="1"/>
  <c r="K135" i="1"/>
  <c r="L135" i="1"/>
  <c r="I136" i="1"/>
  <c r="J136" i="1"/>
  <c r="K136" i="1"/>
  <c r="L136" i="1"/>
  <c r="I137" i="1"/>
  <c r="J137" i="1"/>
  <c r="K137" i="1"/>
  <c r="L137" i="1"/>
  <c r="I138" i="1"/>
  <c r="J138" i="1"/>
  <c r="K138" i="1"/>
  <c r="L138" i="1"/>
  <c r="I139" i="1"/>
  <c r="J139" i="1"/>
  <c r="K139" i="1"/>
  <c r="L139" i="1"/>
  <c r="I140" i="1"/>
  <c r="J140" i="1"/>
  <c r="K140" i="1"/>
  <c r="L140" i="1"/>
  <c r="I141" i="1"/>
  <c r="J141" i="1"/>
  <c r="K141" i="1"/>
  <c r="L141" i="1"/>
  <c r="I142" i="1"/>
  <c r="J142" i="1"/>
  <c r="K142" i="1"/>
  <c r="L142" i="1"/>
  <c r="I143" i="1"/>
  <c r="J143" i="1"/>
  <c r="K143" i="1"/>
  <c r="L143" i="1"/>
  <c r="I144" i="1"/>
  <c r="J144" i="1"/>
  <c r="K144" i="1"/>
  <c r="L144" i="1"/>
  <c r="I145" i="1"/>
  <c r="J145" i="1"/>
  <c r="K145" i="1"/>
  <c r="L145" i="1"/>
  <c r="I146" i="1"/>
  <c r="J146" i="1"/>
  <c r="K146" i="1"/>
  <c r="L146" i="1"/>
  <c r="I147" i="1"/>
  <c r="J147" i="1"/>
  <c r="K147" i="1"/>
  <c r="L147" i="1"/>
  <c r="I148" i="1"/>
  <c r="J148" i="1"/>
  <c r="K148" i="1"/>
  <c r="L148" i="1"/>
  <c r="I149" i="1"/>
  <c r="J149" i="1"/>
  <c r="K149" i="1"/>
  <c r="L149" i="1"/>
  <c r="I150" i="1"/>
  <c r="J150" i="1"/>
  <c r="K150" i="1"/>
  <c r="L150" i="1"/>
  <c r="I151" i="1"/>
  <c r="J151" i="1"/>
  <c r="K151" i="1"/>
  <c r="L151" i="1"/>
  <c r="I152" i="1"/>
  <c r="J152" i="1"/>
  <c r="K152" i="1"/>
  <c r="L152" i="1"/>
  <c r="I153" i="1"/>
  <c r="J153" i="1"/>
  <c r="K153" i="1"/>
  <c r="L153" i="1"/>
  <c r="I154" i="1"/>
  <c r="J154" i="1"/>
  <c r="K154" i="1"/>
  <c r="L154" i="1"/>
  <c r="I155" i="1"/>
  <c r="J155" i="1"/>
  <c r="K155" i="1"/>
  <c r="L155" i="1"/>
  <c r="I156" i="1"/>
  <c r="J156" i="1"/>
  <c r="K156" i="1"/>
  <c r="L156" i="1"/>
  <c r="I157" i="1"/>
  <c r="J157" i="1"/>
  <c r="K157" i="1"/>
  <c r="L157" i="1"/>
  <c r="I158" i="1"/>
  <c r="J158" i="1"/>
  <c r="K158" i="1"/>
  <c r="L158" i="1"/>
  <c r="I159" i="1"/>
  <c r="J159" i="1"/>
  <c r="K159" i="1"/>
  <c r="L159" i="1"/>
  <c r="I160" i="1"/>
  <c r="J160" i="1"/>
  <c r="K160" i="1"/>
  <c r="L160" i="1"/>
  <c r="I161" i="1"/>
  <c r="J161" i="1"/>
  <c r="K161" i="1"/>
  <c r="L161" i="1"/>
  <c r="I162" i="1"/>
  <c r="J162" i="1"/>
  <c r="K162" i="1"/>
  <c r="L162" i="1"/>
  <c r="I163" i="1"/>
  <c r="J163" i="1"/>
  <c r="K163" i="1"/>
  <c r="L163" i="1"/>
  <c r="I164" i="1"/>
  <c r="J164" i="1"/>
  <c r="K164" i="1"/>
  <c r="L164" i="1"/>
  <c r="I165" i="1"/>
  <c r="J165" i="1"/>
  <c r="K165" i="1"/>
  <c r="L165" i="1"/>
  <c r="I166" i="1"/>
  <c r="J166" i="1"/>
  <c r="K166" i="1"/>
  <c r="L166" i="1"/>
  <c r="I167" i="1"/>
  <c r="J167" i="1"/>
  <c r="K167" i="1"/>
  <c r="L167" i="1"/>
  <c r="I168" i="1"/>
  <c r="J168" i="1"/>
  <c r="K168" i="1"/>
  <c r="L168" i="1"/>
  <c r="I169" i="1"/>
  <c r="J169" i="1"/>
  <c r="K169" i="1"/>
  <c r="L169" i="1"/>
  <c r="I170" i="1"/>
  <c r="J170" i="1"/>
  <c r="K170" i="1"/>
  <c r="L170" i="1"/>
  <c r="I171" i="1"/>
  <c r="J171" i="1"/>
  <c r="K171" i="1"/>
  <c r="L171" i="1"/>
  <c r="I172" i="1"/>
  <c r="J172" i="1"/>
  <c r="K172" i="1"/>
  <c r="L172" i="1"/>
  <c r="I173" i="1"/>
  <c r="J173" i="1"/>
  <c r="K173" i="1"/>
  <c r="L173" i="1"/>
  <c r="I174" i="1"/>
  <c r="J174" i="1"/>
  <c r="K174" i="1"/>
  <c r="L174" i="1"/>
  <c r="I175" i="1"/>
  <c r="J175" i="1"/>
  <c r="K175" i="1"/>
  <c r="L175" i="1"/>
  <c r="I176" i="1"/>
  <c r="J176" i="1"/>
  <c r="K176" i="1"/>
  <c r="L176" i="1"/>
  <c r="I177" i="1"/>
  <c r="J177" i="1"/>
  <c r="K177" i="1"/>
  <c r="L177" i="1"/>
  <c r="I178" i="1"/>
  <c r="J178" i="1"/>
  <c r="K178" i="1"/>
  <c r="L178" i="1"/>
  <c r="I179" i="1"/>
  <c r="J179" i="1"/>
  <c r="K179" i="1"/>
  <c r="L179" i="1"/>
  <c r="I180" i="1"/>
  <c r="J180" i="1"/>
  <c r="K180" i="1"/>
  <c r="L180" i="1"/>
  <c r="I181" i="1"/>
  <c r="J181" i="1"/>
  <c r="K181" i="1"/>
  <c r="L181" i="1"/>
  <c r="I182" i="1"/>
  <c r="J182" i="1"/>
  <c r="K182" i="1"/>
  <c r="L182" i="1"/>
  <c r="I183" i="1"/>
  <c r="J183" i="1"/>
  <c r="K183" i="1"/>
  <c r="L183" i="1"/>
  <c r="I184" i="1"/>
  <c r="J184" i="1"/>
  <c r="K184" i="1"/>
  <c r="L184" i="1"/>
  <c r="I185" i="1"/>
  <c r="J185" i="1"/>
  <c r="K185" i="1"/>
  <c r="L185" i="1"/>
  <c r="I186" i="1"/>
  <c r="J186" i="1"/>
  <c r="K186" i="1"/>
  <c r="L186" i="1"/>
  <c r="I187" i="1"/>
  <c r="J187" i="1"/>
  <c r="K187" i="1"/>
  <c r="L187" i="1"/>
  <c r="I188" i="1"/>
  <c r="J188" i="1"/>
  <c r="K188" i="1"/>
  <c r="L188" i="1"/>
  <c r="I189" i="1"/>
  <c r="J189" i="1"/>
  <c r="K189" i="1"/>
  <c r="L189" i="1"/>
  <c r="I190" i="1"/>
  <c r="J190" i="1"/>
  <c r="K190" i="1"/>
  <c r="L190" i="1"/>
  <c r="I191" i="1"/>
  <c r="J191" i="1"/>
  <c r="K191" i="1"/>
  <c r="L191" i="1"/>
  <c r="I192" i="1"/>
  <c r="J192" i="1"/>
  <c r="K192" i="1"/>
  <c r="L192" i="1"/>
  <c r="I193" i="1"/>
  <c r="J193" i="1"/>
  <c r="K193" i="1"/>
  <c r="L193" i="1"/>
  <c r="I194" i="1"/>
  <c r="J194" i="1"/>
  <c r="K194" i="1"/>
  <c r="L194" i="1"/>
  <c r="I195" i="1"/>
  <c r="J195" i="1"/>
  <c r="K195" i="1"/>
  <c r="L195" i="1"/>
  <c r="I196" i="1"/>
  <c r="J196" i="1"/>
  <c r="K196" i="1"/>
  <c r="L196" i="1"/>
  <c r="I197" i="1"/>
  <c r="J197" i="1"/>
  <c r="K197" i="1"/>
  <c r="L197" i="1"/>
  <c r="I198" i="1"/>
  <c r="J198" i="1"/>
  <c r="K198" i="1"/>
  <c r="L198" i="1"/>
  <c r="I199" i="1"/>
  <c r="J199" i="1"/>
  <c r="K199" i="1"/>
  <c r="L199" i="1"/>
  <c r="I200" i="1"/>
  <c r="J200" i="1"/>
  <c r="K200" i="1"/>
  <c r="L200" i="1"/>
  <c r="I201" i="1"/>
  <c r="J201" i="1"/>
  <c r="K201" i="1"/>
  <c r="L201" i="1"/>
  <c r="I202" i="1"/>
  <c r="J202" i="1"/>
  <c r="K202" i="1"/>
  <c r="L202" i="1"/>
  <c r="I203" i="1"/>
  <c r="J203" i="1"/>
  <c r="K203" i="1"/>
  <c r="L203" i="1"/>
  <c r="I204" i="1"/>
  <c r="J204" i="1"/>
  <c r="K204" i="1"/>
  <c r="L204" i="1"/>
  <c r="I205" i="1"/>
  <c r="J205" i="1"/>
  <c r="K205" i="1"/>
  <c r="L205" i="1"/>
  <c r="I206" i="1"/>
  <c r="J206" i="1"/>
  <c r="K206" i="1"/>
  <c r="L206" i="1"/>
  <c r="I207" i="1"/>
  <c r="J207" i="1"/>
  <c r="K207" i="1"/>
  <c r="L207" i="1"/>
  <c r="I208" i="1"/>
  <c r="J208" i="1"/>
  <c r="K208" i="1"/>
  <c r="L208" i="1"/>
  <c r="I209" i="1"/>
  <c r="J209" i="1"/>
  <c r="K209" i="1"/>
  <c r="L209" i="1"/>
  <c r="I210" i="1"/>
  <c r="J210" i="1"/>
  <c r="K210" i="1"/>
  <c r="L210" i="1"/>
  <c r="I211" i="1"/>
  <c r="J211" i="1"/>
  <c r="K211" i="1"/>
  <c r="L211" i="1"/>
  <c r="I212" i="1"/>
  <c r="J212" i="1"/>
  <c r="K212" i="1"/>
  <c r="L212" i="1"/>
  <c r="I213" i="1"/>
  <c r="J213" i="1"/>
  <c r="K213" i="1"/>
  <c r="L213" i="1"/>
  <c r="I214" i="1"/>
  <c r="J214" i="1"/>
  <c r="K214" i="1"/>
  <c r="L214" i="1"/>
  <c r="I215" i="1"/>
  <c r="J215" i="1"/>
  <c r="K215" i="1"/>
  <c r="L215" i="1"/>
  <c r="I216" i="1"/>
  <c r="J216" i="1"/>
  <c r="K216" i="1"/>
  <c r="L216" i="1"/>
  <c r="I217" i="1"/>
  <c r="J217" i="1"/>
  <c r="K217" i="1"/>
  <c r="L217" i="1"/>
  <c r="I9" i="1"/>
  <c r="J8" i="1"/>
  <c r="K7" i="1"/>
  <c r="L6" i="1"/>
  <c r="L5" i="1"/>
  <c r="K5" i="1"/>
  <c r="J5" i="1"/>
  <c r="I5" i="1"/>
  <c r="I6" i="1"/>
  <c r="J6" i="1"/>
  <c r="K6" i="1"/>
  <c r="I7" i="1"/>
  <c r="J7" i="1"/>
  <c r="L7" i="1"/>
  <c r="I8" i="1"/>
  <c r="K8" i="1"/>
  <c r="L8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</calcChain>
</file>

<file path=xl/sharedStrings.xml><?xml version="1.0" encoding="utf-8"?>
<sst xmlns="http://schemas.openxmlformats.org/spreadsheetml/2006/main" count="436" uniqueCount="223">
  <si>
    <t>ZEEL</t>
  </si>
  <si>
    <t>OPTSTK</t>
  </si>
  <si>
    <t>YESBANK</t>
  </si>
  <si>
    <t>WOCKPHARMA</t>
  </si>
  <si>
    <t>WIPRO</t>
  </si>
  <si>
    <t>VOLTAS</t>
  </si>
  <si>
    <t>VGUARD</t>
  </si>
  <si>
    <t>VEDL</t>
  </si>
  <si>
    <t>UPL</t>
  </si>
  <si>
    <t>UNIONBANK</t>
  </si>
  <si>
    <t>ULTRACEMCO</t>
  </si>
  <si>
    <t>UJJIVAN</t>
  </si>
  <si>
    <t>UBL</t>
  </si>
  <si>
    <t>TVSMOTOR</t>
  </si>
  <si>
    <t>TV18BRDCST</t>
  </si>
  <si>
    <t>TORNTPOWER</t>
  </si>
  <si>
    <t>TORNTPHARM</t>
  </si>
  <si>
    <t>TITAN</t>
  </si>
  <si>
    <t>TECHM</t>
  </si>
  <si>
    <t>TCS</t>
  </si>
  <si>
    <t>TATASTEEL</t>
  </si>
  <si>
    <t>TATAPOWER</t>
  </si>
  <si>
    <t>TATAMTRDVR</t>
  </si>
  <si>
    <t>TATAMOTORS</t>
  </si>
  <si>
    <t>TATAGLOBAL</t>
  </si>
  <si>
    <t>TATAELXSI</t>
  </si>
  <si>
    <t>TATACOMM</t>
  </si>
  <si>
    <t>TATACHEM</t>
  </si>
  <si>
    <t>SYNDIBANK</t>
  </si>
  <si>
    <t>SUZLON</t>
  </si>
  <si>
    <t>SUNTV</t>
  </si>
  <si>
    <t>SUNPHARMA</t>
  </si>
  <si>
    <t>STAR</t>
  </si>
  <si>
    <t>SRTRANSFIN</t>
  </si>
  <si>
    <t>SRF</t>
  </si>
  <si>
    <t>SREINFRA</t>
  </si>
  <si>
    <t>SOUTHBANK</t>
  </si>
  <si>
    <t>SIEMENS</t>
  </si>
  <si>
    <t>SHREECEM</t>
  </si>
  <si>
    <t>SBIN</t>
  </si>
  <si>
    <t>SAIL</t>
  </si>
  <si>
    <t>RPOWER</t>
  </si>
  <si>
    <t>REPCOHOME</t>
  </si>
  <si>
    <t>RELINFRA</t>
  </si>
  <si>
    <t>RELIANCE</t>
  </si>
  <si>
    <t>RELCAPITAL</t>
  </si>
  <si>
    <t>RECLTD</t>
  </si>
  <si>
    <t>RCOM</t>
  </si>
  <si>
    <t>RBLBANK</t>
  </si>
  <si>
    <t>RAYMOND</t>
  </si>
  <si>
    <t>RAMCOCEM</t>
  </si>
  <si>
    <t>PVR</t>
  </si>
  <si>
    <t>PTC</t>
  </si>
  <si>
    <t>POWERGRID</t>
  </si>
  <si>
    <t>PNB</t>
  </si>
  <si>
    <t>PIDILITIND</t>
  </si>
  <si>
    <t>PFC</t>
  </si>
  <si>
    <t>PETRONET</t>
  </si>
  <si>
    <t>PEL</t>
  </si>
  <si>
    <t>PCJEWELLER</t>
  </si>
  <si>
    <t>PAGEIND</t>
  </si>
  <si>
    <t>ORIENTBANK</t>
  </si>
  <si>
    <t>ONGC</t>
  </si>
  <si>
    <t>OIL</t>
  </si>
  <si>
    <t>OFSS</t>
  </si>
  <si>
    <t>NTPC</t>
  </si>
  <si>
    <t>NMDC</t>
  </si>
  <si>
    <t>NIITTECH</t>
  </si>
  <si>
    <t>NHPC</t>
  </si>
  <si>
    <t>NESTLEIND</t>
  </si>
  <si>
    <t>NCC</t>
  </si>
  <si>
    <t>NBCC</t>
  </si>
  <si>
    <t>NATIONALUM</t>
  </si>
  <si>
    <t>MUTHOOTFIN</t>
  </si>
  <si>
    <t>MRPL</t>
  </si>
  <si>
    <t>MRF</t>
  </si>
  <si>
    <t>MOTHERSUMI</t>
  </si>
  <si>
    <t>MINDTREE</t>
  </si>
  <si>
    <t>MGL</t>
  </si>
  <si>
    <t>MFSL</t>
  </si>
  <si>
    <t>MCX</t>
  </si>
  <si>
    <t>MCDOWELL-N</t>
  </si>
  <si>
    <t>MARUTI</t>
  </si>
  <si>
    <t>MARICO</t>
  </si>
  <si>
    <t>MANAPPURAM</t>
  </si>
  <si>
    <t>M&amp;MFIN</t>
  </si>
  <si>
    <t>M&amp;M</t>
  </si>
  <si>
    <t>LUPIN</t>
  </si>
  <si>
    <t>LT</t>
  </si>
  <si>
    <t>LICHSGFIN</t>
  </si>
  <si>
    <t>L&amp;TFH</t>
  </si>
  <si>
    <t>KTKBANK</t>
  </si>
  <si>
    <t>KSCL</t>
  </si>
  <si>
    <t>KPIT</t>
  </si>
  <si>
    <t>KOTAKBANK</t>
  </si>
  <si>
    <t>KAJARIACER</t>
  </si>
  <si>
    <t>JUSTDIAL</t>
  </si>
  <si>
    <t>JUBLFOOD</t>
  </si>
  <si>
    <t>JSWSTEEL</t>
  </si>
  <si>
    <t>JPASSOCIAT</t>
  </si>
  <si>
    <t>JISLJALEQS</t>
  </si>
  <si>
    <t>JINDALSTEL</t>
  </si>
  <si>
    <t>JETAIRWAYS</t>
  </si>
  <si>
    <t>ITC</t>
  </si>
  <si>
    <t>IRB</t>
  </si>
  <si>
    <t>IOC</t>
  </si>
  <si>
    <t>INFY</t>
  </si>
  <si>
    <t>INFRATEL</t>
  </si>
  <si>
    <t>INFIBEAM</t>
  </si>
  <si>
    <t>INDUSINDBK</t>
  </si>
  <si>
    <t>INDIGO</t>
  </si>
  <si>
    <t>INDIANB</t>
  </si>
  <si>
    <t>INDIACEM</t>
  </si>
  <si>
    <t>IGL</t>
  </si>
  <si>
    <t>IFCI</t>
  </si>
  <si>
    <t>IDFCBANK</t>
  </si>
  <si>
    <t>IDFC</t>
  </si>
  <si>
    <t>IDEA</t>
  </si>
  <si>
    <t>IDBI</t>
  </si>
  <si>
    <t>ICICIPRULI</t>
  </si>
  <si>
    <t>ICICIBANK</t>
  </si>
  <si>
    <t>IBULHSGFIN</t>
  </si>
  <si>
    <t>HINDZINC</t>
  </si>
  <si>
    <t>HINDUNILVR</t>
  </si>
  <si>
    <t>HINDPETRO</t>
  </si>
  <si>
    <t>HINDALCO</t>
  </si>
  <si>
    <t>HEXAWARE</t>
  </si>
  <si>
    <t>HEROMOTOCO</t>
  </si>
  <si>
    <t>HDFCBANK</t>
  </si>
  <si>
    <t>HDFC</t>
  </si>
  <si>
    <t>HCLTECH</t>
  </si>
  <si>
    <t>HCC</t>
  </si>
  <si>
    <t>HAVELLS</t>
  </si>
  <si>
    <t>GSFC</t>
  </si>
  <si>
    <t>GRASIM</t>
  </si>
  <si>
    <t>GRANULES</t>
  </si>
  <si>
    <t>GODREJIND</t>
  </si>
  <si>
    <t>GODREJCP</t>
  </si>
  <si>
    <t>GODFRYPHLP</t>
  </si>
  <si>
    <t>GMRINFRA</t>
  </si>
  <si>
    <t>GLENMARK</t>
  </si>
  <si>
    <t>GAIL</t>
  </si>
  <si>
    <t>FEDERALBNK</t>
  </si>
  <si>
    <t>EXIDEIND</t>
  </si>
  <si>
    <t>ESCORTS</t>
  </si>
  <si>
    <t>EQUITAS</t>
  </si>
  <si>
    <t>ENGINERSIN</t>
  </si>
  <si>
    <t>EICHERMOT</t>
  </si>
  <si>
    <t>DRREDDY</t>
  </si>
  <si>
    <t>DLF</t>
  </si>
  <si>
    <t>DIVISLAB</t>
  </si>
  <si>
    <t>DISHTV</t>
  </si>
  <si>
    <t>DHFL</t>
  </si>
  <si>
    <t>DCBBANK</t>
  </si>
  <si>
    <t>DALMIABHA</t>
  </si>
  <si>
    <t>DABUR</t>
  </si>
  <si>
    <t>CUMMINSIND</t>
  </si>
  <si>
    <t>CONCOR</t>
  </si>
  <si>
    <t>COLPAL</t>
  </si>
  <si>
    <t>COALINDIA</t>
  </si>
  <si>
    <t>CIPLA</t>
  </si>
  <si>
    <t>CHOLAFIN</t>
  </si>
  <si>
    <t>CHENNPETRO</t>
  </si>
  <si>
    <t>CGPOWER</t>
  </si>
  <si>
    <t>CESC</t>
  </si>
  <si>
    <t>CENTURYTEX</t>
  </si>
  <si>
    <t>CEATLTD</t>
  </si>
  <si>
    <t>CASTROLIND</t>
  </si>
  <si>
    <t>CAPF</t>
  </si>
  <si>
    <t>CANFINHOME</t>
  </si>
  <si>
    <t>CANBK</t>
  </si>
  <si>
    <t>CADILAHC</t>
  </si>
  <si>
    <t>BRITANNIA</t>
  </si>
  <si>
    <t>BPCL</t>
  </si>
  <si>
    <t>BOSCHLTD</t>
  </si>
  <si>
    <t>BIOCON</t>
  </si>
  <si>
    <t>BHEL</t>
  </si>
  <si>
    <t>BHARTIARTL</t>
  </si>
  <si>
    <t>BHARATFORG</t>
  </si>
  <si>
    <t>BHARATFIN</t>
  </si>
  <si>
    <t>BERGEPAINT</t>
  </si>
  <si>
    <t>BEML</t>
  </si>
  <si>
    <t>BEL</t>
  </si>
  <si>
    <t>BATAINDIA</t>
  </si>
  <si>
    <t>BANKINDIA</t>
  </si>
  <si>
    <t>BANKBARODA</t>
  </si>
  <si>
    <t>BALKRISIND</t>
  </si>
  <si>
    <t>BAJFINANCE</t>
  </si>
  <si>
    <t>BAJAJFINSV</t>
  </si>
  <si>
    <t>BAJAJ-AUTO</t>
  </si>
  <si>
    <t>AXISBANK</t>
  </si>
  <si>
    <t>AUROPHARMA</t>
  </si>
  <si>
    <t>ASIANPAINT</t>
  </si>
  <si>
    <t>ASHOKLEY</t>
  </si>
  <si>
    <t>ARVIND</t>
  </si>
  <si>
    <t>APOLLOTYRE</t>
  </si>
  <si>
    <t>APOLLOHOSP</t>
  </si>
  <si>
    <t>AMBUJACEM</t>
  </si>
  <si>
    <t>AMARAJABAT</t>
  </si>
  <si>
    <t>ALBK</t>
  </si>
  <si>
    <t>AJANTPHARM</t>
  </si>
  <si>
    <t>ADANIPOWER</t>
  </si>
  <si>
    <t>ADANIPORTS</t>
  </si>
  <si>
    <t>ADANIENT</t>
  </si>
  <si>
    <t>ACC</t>
  </si>
  <si>
    <t>NIFTYPSE</t>
  </si>
  <si>
    <t>OPTIDX</t>
  </si>
  <si>
    <t>NIFTYMID50</t>
  </si>
  <si>
    <t>NIFTYIT</t>
  </si>
  <si>
    <t>NIFTYINFRA</t>
  </si>
  <si>
    <t>NIFTYCPSE</t>
  </si>
  <si>
    <t>NIFTY</t>
  </si>
  <si>
    <t>FTSE100</t>
  </si>
  <si>
    <t>BANKNIFTY</t>
  </si>
  <si>
    <t>Call Close Ab Tgt</t>
  </si>
  <si>
    <t>CE Win Pr</t>
  </si>
  <si>
    <t>Put IV</t>
  </si>
  <si>
    <t>High OI PUT</t>
  </si>
  <si>
    <t>Call IV</t>
  </si>
  <si>
    <t>High OI Call</t>
  </si>
  <si>
    <t>Ticker</t>
  </si>
  <si>
    <t>Expiration Day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</si>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</sst>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0" fontId="1" fillId="2" borderId="1" xfId="0" applyNumberFormat="1" applyFont="1" applyFill="1" applyBorder="1" applyAlignment="1" applyProtection="1">
      <alignment horizontal="center"/>
    </xf>
    <xf numFmtId="10" fontId="1" fillId="2" borderId="2" xfId="0" applyNumberFormat="1" applyFont="1" applyFill="1" applyBorder="1" applyAlignment="1" applyProtection="1">
      <alignment horizontal="center"/>
    </xf>
    <xf numFmtId="10" fontId="1" fillId="3" borderId="1" xfId="0" applyNumberFormat="1" applyFont="1" applyFill="1" applyBorder="1" applyAlignment="1" applyProtection="1">
      <alignment horizontal="center"/>
    </xf>
    <xf numFmtId="10" fontId="1" fillId="3" borderId="3" xfId="0" applyNumberFormat="1" applyFont="1" applyFill="1" applyBorder="1" applyAlignment="1" applyProtection="1">
      <alignment horizontal="center"/>
    </xf>
    <xf numFmtId="10" fontId="1" fillId="4" borderId="4" xfId="0" applyNumberFormat="1" applyFont="1" applyFill="1" applyBorder="1" applyAlignment="1" applyProtection="1">
      <alignment horizontal="center"/>
      <protection locked="0"/>
    </xf>
    <xf numFmtId="164" fontId="1" fillId="5" borderId="5" xfId="0" applyNumberFormat="1" applyFont="1" applyFill="1" applyBorder="1" applyAlignment="1" applyProtection="1">
      <alignment horizontal="center"/>
      <protection locked="0"/>
    </xf>
    <xf numFmtId="164" fontId="1" fillId="4" borderId="4" xfId="0" applyNumberFormat="1" applyFont="1" applyFill="1" applyBorder="1" applyAlignment="1" applyProtection="1">
      <alignment horizontal="center"/>
      <protection locked="0"/>
    </xf>
    <xf numFmtId="0" fontId="1" fillId="4" borderId="1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8477-C255-448E-9860-E080DF54D30A}">
  <dimension ref="B1:O217"/>
  <sheetViews>
    <sheetView tabSelected="1" workbookViewId="0"/>
  </sheetViews>
  <sheetFormatPr defaultRowHeight="14.4" x14ac:dyDescent="0.3"/>
  <cols>
    <col min="3" max="3" width="13.5546875" bestFit="1" customWidth="1"/>
    <col min="4" max="4" width="11.5546875" bestFit="1" customWidth="1"/>
  </cols>
  <sheetData>
    <row r="1" spans="2:15" x14ac:dyDescent="0.3">
      <c r="O1" t="s">
        <v>90</v>
      </c>
    </row>
    <row r="2" spans="2:15" ht="15" thickBot="1" x14ac:dyDescent="0.35">
      <c r="G2" t="s">
        <v>221</v>
      </c>
      <c r="H2" s="8">
        <v>39</v>
      </c>
      <c r="O2" t="s">
        <v>86</v>
      </c>
    </row>
    <row r="3" spans="2:15" x14ac:dyDescent="0.3">
      <c r="O3" t="s">
        <v>85</v>
      </c>
    </row>
    <row r="4" spans="2:15" x14ac:dyDescent="0.3">
      <c r="C4" t="s">
        <v>220</v>
      </c>
      <c r="D4" t="s">
        <v>222</v>
      </c>
      <c r="E4" t="s">
        <v>219</v>
      </c>
      <c r="F4" t="s">
        <v>218</v>
      </c>
      <c r="G4" t="s">
        <v>217</v>
      </c>
      <c r="H4" t="s">
        <v>216</v>
      </c>
      <c r="I4" t="s">
        <v>215</v>
      </c>
      <c r="J4" t="s">
        <v>214</v>
      </c>
    </row>
    <row r="5" spans="2:15" ht="15" thickBot="1" x14ac:dyDescent="0.35">
      <c r="B5" t="s">
        <v>206</v>
      </c>
      <c r="C5" t="s">
        <v>213</v>
      </c>
      <c r="D5" s="7">
        <v>176</v>
      </c>
      <c r="E5" s="6">
        <v>200</v>
      </c>
      <c r="F5" s="5">
        <v>0.77900000000000003</v>
      </c>
      <c r="G5" s="6">
        <v>150</v>
      </c>
      <c r="H5" s="5">
        <v>0.8306</v>
      </c>
      <c r="I5" s="4">
        <f>NORMSDIST(LN(E5/D5)/(F5*SQRT($H$2/365)))</f>
        <v>0.69217323101603356</v>
      </c>
      <c r="J5" s="3">
        <f>1-NORMSDIST(LN(E5/D5)/(F5*SQRT($H$2/365)))</f>
        <v>0.30782676898396644</v>
      </c>
      <c r="K5" s="2">
        <f>1-NORMSDIST(LN(G5/D5)/(H5*SQRT($H$2/365)))</f>
        <v>0.72198568303021671</v>
      </c>
      <c r="L5" s="1">
        <f>NORMSDIST(LN(G5/D5)/(H5*SQRT($H$2/365)))</f>
        <v>0.27801431696978324</v>
      </c>
    </row>
    <row r="6" spans="2:15" ht="15" thickBot="1" x14ac:dyDescent="0.35">
      <c r="B6" t="s">
        <v>206</v>
      </c>
      <c r="C6" t="s">
        <v>212</v>
      </c>
      <c r="D6" s="7">
        <v>176</v>
      </c>
      <c r="E6" s="6">
        <v>200</v>
      </c>
      <c r="F6" s="5">
        <v>0.77900000000000003</v>
      </c>
      <c r="G6" s="6">
        <v>150</v>
      </c>
      <c r="H6" s="5">
        <v>0.8306</v>
      </c>
      <c r="I6" s="4">
        <f>NORMSDIST(LN(E6/D6)/(F6*SQRT($H$2/365)))</f>
        <v>0.69217323101603356</v>
      </c>
      <c r="J6" s="3">
        <f>1-NORMSDIST(LN(E6/D6)/(F6*SQRT($H$2/365)))</f>
        <v>0.30782676898396644</v>
      </c>
      <c r="K6" s="2">
        <f>1-NORMSDIST(LN(G6/D6)/(H6*SQRT($H$2/365)))</f>
        <v>0.72198568303021671</v>
      </c>
      <c r="L6" s="1">
        <f>NORMSDIST(LN(G6/D6)/(H6*SQRT($H$2/365)))</f>
        <v>0.27801431696978324</v>
      </c>
    </row>
    <row r="7" spans="2:15" ht="15" thickBot="1" x14ac:dyDescent="0.35">
      <c r="B7" t="s">
        <v>206</v>
      </c>
      <c r="C7" t="s">
        <v>211</v>
      </c>
      <c r="D7" s="7">
        <v>176</v>
      </c>
      <c r="E7" s="6">
        <v>200</v>
      </c>
      <c r="F7" s="5">
        <v>0.77900000000000003</v>
      </c>
      <c r="G7" s="6">
        <v>150</v>
      </c>
      <c r="H7" s="5">
        <v>0.8306</v>
      </c>
      <c r="I7" s="4">
        <f>NORMSDIST(LN(E7/D7)/(F7*SQRT($H$2/365)))</f>
        <v>0.69217323101603356</v>
      </c>
      <c r="J7" s="3">
        <f>1-NORMSDIST(LN(E7/D7)/(F7*SQRT($H$2/365)))</f>
        <v>0.30782676898396644</v>
      </c>
      <c r="K7" s="2">
        <f>1-NORMSDIST(LN(G7/D7)/(H7*SQRT($H$2/365)))</f>
        <v>0.72198568303021671</v>
      </c>
      <c r="L7" s="1">
        <f>NORMSDIST(LN(G7/D7)/(H7*SQRT($H$2/365)))</f>
        <v>0.27801431696978324</v>
      </c>
    </row>
    <row r="8" spans="2:15" ht="15" thickBot="1" x14ac:dyDescent="0.35">
      <c r="B8" t="s">
        <v>206</v>
      </c>
      <c r="C8" t="s">
        <v>210</v>
      </c>
      <c r="D8" s="7">
        <v>176</v>
      </c>
      <c r="E8" s="6">
        <v>200</v>
      </c>
      <c r="F8" s="5">
        <v>0.77900000000000003</v>
      </c>
      <c r="G8" s="6">
        <v>150</v>
      </c>
      <c r="H8" s="5">
        <v>0.8306</v>
      </c>
      <c r="I8" s="4">
        <f>NORMSDIST(LN(E8/D8)/(F8*SQRT($H$2/365)))</f>
        <v>0.69217323101603356</v>
      </c>
      <c r="J8" s="3">
        <f>1-NORMSDIST(LN(E8/D8)/(F8*SQRT($H$2/365)))</f>
        <v>0.30782676898396644</v>
      </c>
      <c r="K8" s="2">
        <f>1-NORMSDIST(LN(G8/D8)/(H8*SQRT($H$2/365)))</f>
        <v>0.72198568303021671</v>
      </c>
      <c r="L8" s="1">
        <f>NORMSDIST(LN(G8/D8)/(H8*SQRT($H$2/365)))</f>
        <v>0.27801431696978324</v>
      </c>
    </row>
    <row r="9" spans="2:15" ht="15" thickBot="1" x14ac:dyDescent="0.35">
      <c r="B9" t="s">
        <v>206</v>
      </c>
      <c r="C9" t="s">
        <v>209</v>
      </c>
      <c r="D9" s="7">
        <v>176</v>
      </c>
      <c r="E9" s="6">
        <v>200</v>
      </c>
      <c r="F9" s="5">
        <v>0.77900000000000003</v>
      </c>
      <c r="G9" s="6">
        <v>150</v>
      </c>
      <c r="H9" s="5">
        <v>0.8306</v>
      </c>
      <c r="I9" s="4">
        <f>NORMSDIST(LN(E9/D9)/(F9*SQRT($H$2/365)))</f>
        <v>0.69217323101603356</v>
      </c>
      <c r="J9" s="3">
        <f>1-NORMSDIST(LN(E9/D9)/(F9*SQRT($H$2/365)))</f>
        <v>0.30782676898396644</v>
      </c>
      <c r="K9" s="2">
        <f>1-NORMSDIST(LN(G9/D9)/(H9*SQRT($H$2/365)))</f>
        <v>0.72198568303021671</v>
      </c>
      <c r="L9" s="1">
        <f>NORMSDIST(LN(G9/D9)/(H9*SQRT($H$2/365)))</f>
        <v>0.27801431696978324</v>
      </c>
    </row>
    <row r="10" spans="2:15" ht="15" thickBot="1" x14ac:dyDescent="0.35">
      <c r="B10" t="s">
        <v>206</v>
      </c>
      <c r="C10" t="s">
        <v>208</v>
      </c>
      <c r="D10" s="7">
        <v>176</v>
      </c>
      <c r="E10" s="6">
        <v>200</v>
      </c>
      <c r="F10" s="5">
        <v>0.77900000000000003</v>
      </c>
      <c r="G10" s="6">
        <v>150</v>
      </c>
      <c r="H10" s="5">
        <v>0.8306</v>
      </c>
      <c r="I10" s="4">
        <f>NORMSDIST(LN(E10/D10)/(F10*SQRT($H$2/365)))</f>
        <v>0.69217323101603356</v>
      </c>
      <c r="J10" s="3">
        <f>1-NORMSDIST(LN(E10/D10)/(F10*SQRT($H$2/365)))</f>
        <v>0.30782676898396644</v>
      </c>
      <c r="K10" s="2">
        <f>1-NORMSDIST(LN(G10/D10)/(H10*SQRT($H$2/365)))</f>
        <v>0.72198568303021671</v>
      </c>
      <c r="L10" s="1">
        <f>NORMSDIST(LN(G10/D10)/(H10*SQRT($H$2/365)))</f>
        <v>0.27801431696978324</v>
      </c>
    </row>
    <row r="11" spans="2:15" ht="15" thickBot="1" x14ac:dyDescent="0.35">
      <c r="B11" t="s">
        <v>206</v>
      </c>
      <c r="C11" t="s">
        <v>207</v>
      </c>
      <c r="D11" s="7">
        <v>176</v>
      </c>
      <c r="E11" s="6">
        <v>200</v>
      </c>
      <c r="F11" s="5">
        <v>0.77900000000000003</v>
      </c>
      <c r="G11" s="6">
        <v>150</v>
      </c>
      <c r="H11" s="5">
        <v>0.8306</v>
      </c>
      <c r="I11" s="4">
        <f>NORMSDIST(LN(E11/D11)/(F11*SQRT($H$2/365)))</f>
        <v>0.69217323101603356</v>
      </c>
      <c r="J11" s="3">
        <f>1-NORMSDIST(LN(E11/D11)/(F11*SQRT($H$2/365)))</f>
        <v>0.30782676898396644</v>
      </c>
      <c r="K11" s="2">
        <f>1-NORMSDIST(LN(G11/D11)/(H11*SQRT($H$2/365)))</f>
        <v>0.72198568303021671</v>
      </c>
      <c r="L11" s="1">
        <f>NORMSDIST(LN(G11/D11)/(H11*SQRT($H$2/365)))</f>
        <v>0.27801431696978324</v>
      </c>
    </row>
    <row r="12" spans="2:15" ht="15" thickBot="1" x14ac:dyDescent="0.35">
      <c r="B12" t="s">
        <v>206</v>
      </c>
      <c r="C12" t="s">
        <v>205</v>
      </c>
      <c r="D12" s="7">
        <v>176</v>
      </c>
      <c r="E12" s="6">
        <v>200</v>
      </c>
      <c r="F12" s="5">
        <v>0.77900000000000003</v>
      </c>
      <c r="G12" s="6">
        <v>150</v>
      </c>
      <c r="H12" s="5">
        <v>0.8306</v>
      </c>
      <c r="I12" s="4">
        <f>NORMSDIST(LN(E12/D12)/(F12*SQRT($H$2/365)))</f>
        <v>0.69217323101603356</v>
      </c>
      <c r="J12" s="3">
        <f>1-NORMSDIST(LN(E12/D12)/(F12*SQRT($H$2/365)))</f>
        <v>0.30782676898396644</v>
      </c>
      <c r="K12" s="2">
        <f>1-NORMSDIST(LN(G12/D12)/(H12*SQRT($H$2/365)))</f>
        <v>0.72198568303021671</v>
      </c>
      <c r="L12" s="1">
        <f>NORMSDIST(LN(G12/D12)/(H12*SQRT($H$2/365)))</f>
        <v>0.27801431696978324</v>
      </c>
    </row>
    <row r="14" spans="2:15" ht="15" thickBot="1" x14ac:dyDescent="0.35">
      <c r="B14" t="s">
        <v>1</v>
      </c>
      <c r="C14" t="s">
        <v>204</v>
      </c>
      <c r="D14" s="7">
        <v>176</v>
      </c>
      <c r="E14" s="6">
        <v>200</v>
      </c>
      <c r="F14" s="5">
        <v>0.77900000000000003</v>
      </c>
      <c r="G14" s="6">
        <v>150</v>
      </c>
      <c r="H14" s="5">
        <v>0.8306</v>
      </c>
      <c r="I14" s="4">
        <f>NORMSDIST(LN(E14/D14)/(F14*SQRT($H$2/365)))</f>
        <v>0.69217323101603356</v>
      </c>
      <c r="J14" s="3">
        <f>1-NORMSDIST(LN(E14/D14)/(F14*SQRT($H$2/365)))</f>
        <v>0.30782676898396644</v>
      </c>
      <c r="K14" s="2">
        <f>1-NORMSDIST(LN(G14/D14)/(H14*SQRT($H$2/365)))</f>
        <v>0.72198568303021671</v>
      </c>
      <c r="L14" s="1">
        <f>NORMSDIST(LN(G14/D14)/(H14*SQRT($H$2/365)))</f>
        <v>0.27801431696978324</v>
      </c>
    </row>
    <row r="15" spans="2:15" ht="15" thickBot="1" x14ac:dyDescent="0.35">
      <c r="B15" t="s">
        <v>1</v>
      </c>
      <c r="C15" t="s">
        <v>203</v>
      </c>
      <c r="D15" s="7">
        <v>176</v>
      </c>
      <c r="E15" s="6">
        <v>200</v>
      </c>
      <c r="F15" s="5">
        <v>0.77900000000000003</v>
      </c>
      <c r="G15" s="6">
        <v>150</v>
      </c>
      <c r="H15" s="5">
        <v>0.8306</v>
      </c>
      <c r="I15" s="4">
        <f>NORMSDIST(LN(E15/D15)/(F15*SQRT($H$2/365)))</f>
        <v>0.69217323101603356</v>
      </c>
      <c r="J15" s="3">
        <f>1-NORMSDIST(LN(E15/D15)/(F15*SQRT($H$2/365)))</f>
        <v>0.30782676898396644</v>
      </c>
      <c r="K15" s="2">
        <f>1-NORMSDIST(LN(G15/D15)/(H15*SQRT($H$2/365)))</f>
        <v>0.72198568303021671</v>
      </c>
      <c r="L15" s="1">
        <f>NORMSDIST(LN(G15/D15)/(H15*SQRT($H$2/365)))</f>
        <v>0.27801431696978324</v>
      </c>
    </row>
    <row r="16" spans="2:15" ht="15" thickBot="1" x14ac:dyDescent="0.35">
      <c r="B16" t="s">
        <v>1</v>
      </c>
      <c r="C16" t="s">
        <v>202</v>
      </c>
      <c r="D16" s="7">
        <v>176</v>
      </c>
      <c r="E16" s="6">
        <v>200</v>
      </c>
      <c r="F16" s="5">
        <v>0.77900000000000003</v>
      </c>
      <c r="G16" s="6">
        <v>150</v>
      </c>
      <c r="H16" s="5">
        <v>0.8306</v>
      </c>
      <c r="I16" s="4">
        <f>NORMSDIST(LN(E16/D16)/(F16*SQRT($H$2/365)))</f>
        <v>0.69217323101603356</v>
      </c>
      <c r="J16" s="3">
        <f>1-NORMSDIST(LN(E16/D16)/(F16*SQRT($H$2/365)))</f>
        <v>0.30782676898396644</v>
      </c>
      <c r="K16" s="2">
        <f>1-NORMSDIST(LN(G16/D16)/(H16*SQRT($H$2/365)))</f>
        <v>0.72198568303021671</v>
      </c>
      <c r="L16" s="1">
        <f>NORMSDIST(LN(G16/D16)/(H16*SQRT($H$2/365)))</f>
        <v>0.27801431696978324</v>
      </c>
    </row>
    <row r="17" spans="2:12" ht="15" thickBot="1" x14ac:dyDescent="0.35">
      <c r="B17" t="s">
        <v>1</v>
      </c>
      <c r="C17" t="s">
        <v>201</v>
      </c>
      <c r="D17" s="7">
        <v>176</v>
      </c>
      <c r="E17" s="6">
        <v>200</v>
      </c>
      <c r="F17" s="5">
        <v>0.77900000000000003</v>
      </c>
      <c r="G17" s="6">
        <v>150</v>
      </c>
      <c r="H17" s="5">
        <v>0.8306</v>
      </c>
      <c r="I17" s="4">
        <f>NORMSDIST(LN(E17/D17)/(F17*SQRT($H$2/365)))</f>
        <v>0.69217323101603356</v>
      </c>
      <c r="J17" s="3">
        <f>1-NORMSDIST(LN(E17/D17)/(F17*SQRT($H$2/365)))</f>
        <v>0.30782676898396644</v>
      </c>
      <c r="K17" s="2">
        <f>1-NORMSDIST(LN(G17/D17)/(H17*SQRT($H$2/365)))</f>
        <v>0.72198568303021671</v>
      </c>
      <c r="L17" s="1">
        <f>NORMSDIST(LN(G17/D17)/(H17*SQRT($H$2/365)))</f>
        <v>0.27801431696978324</v>
      </c>
    </row>
    <row r="18" spans="2:12" ht="15" thickBot="1" x14ac:dyDescent="0.35">
      <c r="B18" t="s">
        <v>1</v>
      </c>
      <c r="C18" t="s">
        <v>200</v>
      </c>
      <c r="D18" s="7">
        <v>176</v>
      </c>
      <c r="E18" s="6">
        <v>200</v>
      </c>
      <c r="F18" s="5">
        <v>0.77900000000000003</v>
      </c>
      <c r="G18" s="6">
        <v>150</v>
      </c>
      <c r="H18" s="5">
        <v>0.8306</v>
      </c>
      <c r="I18" s="4">
        <f>NORMSDIST(LN(E18/D18)/(F18*SQRT($H$2/365)))</f>
        <v>0.69217323101603356</v>
      </c>
      <c r="J18" s="3">
        <f>1-NORMSDIST(LN(E18/D18)/(F18*SQRT($H$2/365)))</f>
        <v>0.30782676898396644</v>
      </c>
      <c r="K18" s="2">
        <f>1-NORMSDIST(LN(G18/D18)/(H18*SQRT($H$2/365)))</f>
        <v>0.72198568303021671</v>
      </c>
      <c r="L18" s="1">
        <f>NORMSDIST(LN(G18/D18)/(H18*SQRT($H$2/365)))</f>
        <v>0.27801431696978324</v>
      </c>
    </row>
    <row r="19" spans="2:12" ht="15" thickBot="1" x14ac:dyDescent="0.35">
      <c r="B19" t="s">
        <v>1</v>
      </c>
      <c r="C19" t="s">
        <v>199</v>
      </c>
      <c r="D19" s="7">
        <v>176</v>
      </c>
      <c r="E19" s="6">
        <v>200</v>
      </c>
      <c r="F19" s="5">
        <v>0.77900000000000003</v>
      </c>
      <c r="G19" s="6">
        <v>150</v>
      </c>
      <c r="H19" s="5">
        <v>0.8306</v>
      </c>
      <c r="I19" s="4">
        <f>NORMSDIST(LN(E19/D19)/(F19*SQRT($H$2/365)))</f>
        <v>0.69217323101603356</v>
      </c>
      <c r="J19" s="3">
        <f>1-NORMSDIST(LN(E19/D19)/(F19*SQRT($H$2/365)))</f>
        <v>0.30782676898396644</v>
      </c>
      <c r="K19" s="2">
        <f>1-NORMSDIST(LN(G19/D19)/(H19*SQRT($H$2/365)))</f>
        <v>0.72198568303021671</v>
      </c>
      <c r="L19" s="1">
        <f>NORMSDIST(LN(G19/D19)/(H19*SQRT($H$2/365)))</f>
        <v>0.27801431696978324</v>
      </c>
    </row>
    <row r="20" spans="2:12" ht="15" thickBot="1" x14ac:dyDescent="0.35">
      <c r="B20" t="s">
        <v>1</v>
      </c>
      <c r="C20" t="s">
        <v>198</v>
      </c>
      <c r="D20" s="7">
        <v>176</v>
      </c>
      <c r="E20" s="6">
        <v>200</v>
      </c>
      <c r="F20" s="5">
        <v>0.77900000000000003</v>
      </c>
      <c r="G20" s="6">
        <v>150</v>
      </c>
      <c r="H20" s="5">
        <v>0.8306</v>
      </c>
      <c r="I20" s="4">
        <f>NORMSDIST(LN(E20/D20)/(F20*SQRT($H$2/365)))</f>
        <v>0.69217323101603356</v>
      </c>
      <c r="J20" s="3">
        <f>1-NORMSDIST(LN(E20/D20)/(F20*SQRT($H$2/365)))</f>
        <v>0.30782676898396644</v>
      </c>
      <c r="K20" s="2">
        <f>1-NORMSDIST(LN(G20/D20)/(H20*SQRT($H$2/365)))</f>
        <v>0.72198568303021671</v>
      </c>
      <c r="L20" s="1">
        <f>NORMSDIST(LN(G20/D20)/(H20*SQRT($H$2/365)))</f>
        <v>0.27801431696978324</v>
      </c>
    </row>
    <row r="21" spans="2:12" ht="15" thickBot="1" x14ac:dyDescent="0.35">
      <c r="B21" t="s">
        <v>1</v>
      </c>
      <c r="C21" t="s">
        <v>197</v>
      </c>
      <c r="D21" s="7">
        <v>176</v>
      </c>
      <c r="E21" s="6">
        <v>200</v>
      </c>
      <c r="F21" s="5">
        <v>0.77900000000000003</v>
      </c>
      <c r="G21" s="6">
        <v>150</v>
      </c>
      <c r="H21" s="5">
        <v>0.8306</v>
      </c>
      <c r="I21" s="4">
        <f t="shared" ref="I21:I84" si="0">NORMSDIST(LN(E21/D21)/(F21*SQRT($H$2/365)))</f>
        <v>0.69217323101603356</v>
      </c>
      <c r="J21" s="3">
        <f t="shared" ref="J21:J84" si="1">1-NORMSDIST(LN(E21/D21)/(F21*SQRT($H$2/365)))</f>
        <v>0.30782676898396644</v>
      </c>
      <c r="K21" s="2">
        <f t="shared" ref="K21:K84" si="2">1-NORMSDIST(LN(G21/D21)/(H21*SQRT($H$2/365)))</f>
        <v>0.72198568303021671</v>
      </c>
      <c r="L21" s="1">
        <f t="shared" ref="L21:L84" si="3">NORMSDIST(LN(G21/D21)/(H21*SQRT($H$2/365)))</f>
        <v>0.27801431696978324</v>
      </c>
    </row>
    <row r="22" spans="2:12" ht="15" thickBot="1" x14ac:dyDescent="0.35">
      <c r="B22" t="s">
        <v>1</v>
      </c>
      <c r="C22" t="s">
        <v>196</v>
      </c>
      <c r="D22" s="7">
        <v>176</v>
      </c>
      <c r="E22" s="6">
        <v>200</v>
      </c>
      <c r="F22" s="5">
        <v>0.77900000000000003</v>
      </c>
      <c r="G22" s="6">
        <v>150</v>
      </c>
      <c r="H22" s="5">
        <v>0.8306</v>
      </c>
      <c r="I22" s="4">
        <f t="shared" si="0"/>
        <v>0.69217323101603356</v>
      </c>
      <c r="J22" s="3">
        <f t="shared" si="1"/>
        <v>0.30782676898396644</v>
      </c>
      <c r="K22" s="2">
        <f t="shared" si="2"/>
        <v>0.72198568303021671</v>
      </c>
      <c r="L22" s="1">
        <f t="shared" si="3"/>
        <v>0.27801431696978324</v>
      </c>
    </row>
    <row r="23" spans="2:12" ht="15" thickBot="1" x14ac:dyDescent="0.35">
      <c r="B23" t="s">
        <v>1</v>
      </c>
      <c r="C23" t="s">
        <v>195</v>
      </c>
      <c r="D23" s="7">
        <v>176</v>
      </c>
      <c r="E23" s="6">
        <v>200</v>
      </c>
      <c r="F23" s="5">
        <v>0.77900000000000003</v>
      </c>
      <c r="G23" s="6">
        <v>150</v>
      </c>
      <c r="H23" s="5">
        <v>0.8306</v>
      </c>
      <c r="I23" s="4">
        <f t="shared" si="0"/>
        <v>0.69217323101603356</v>
      </c>
      <c r="J23" s="3">
        <f t="shared" si="1"/>
        <v>0.30782676898396644</v>
      </c>
      <c r="K23" s="2">
        <f t="shared" si="2"/>
        <v>0.72198568303021671</v>
      </c>
      <c r="L23" s="1">
        <f t="shared" si="3"/>
        <v>0.27801431696978324</v>
      </c>
    </row>
    <row r="24" spans="2:12" ht="15" thickBot="1" x14ac:dyDescent="0.35">
      <c r="B24" t="s">
        <v>1</v>
      </c>
      <c r="C24" t="s">
        <v>194</v>
      </c>
      <c r="D24" s="7">
        <v>176</v>
      </c>
      <c r="E24" s="6">
        <v>200</v>
      </c>
      <c r="F24" s="5">
        <v>0.77900000000000003</v>
      </c>
      <c r="G24" s="6">
        <v>150</v>
      </c>
      <c r="H24" s="5">
        <v>0.8306</v>
      </c>
      <c r="I24" s="4">
        <f t="shared" si="0"/>
        <v>0.69217323101603356</v>
      </c>
      <c r="J24" s="3">
        <f t="shared" si="1"/>
        <v>0.30782676898396644</v>
      </c>
      <c r="K24" s="2">
        <f t="shared" si="2"/>
        <v>0.72198568303021671</v>
      </c>
      <c r="L24" s="1">
        <f t="shared" si="3"/>
        <v>0.27801431696978324</v>
      </c>
    </row>
    <row r="25" spans="2:12" ht="15" thickBot="1" x14ac:dyDescent="0.35">
      <c r="B25" t="s">
        <v>1</v>
      </c>
      <c r="C25" t="s">
        <v>193</v>
      </c>
      <c r="D25" s="7">
        <v>176</v>
      </c>
      <c r="E25" s="6">
        <v>200</v>
      </c>
      <c r="F25" s="5">
        <v>0.77900000000000003</v>
      </c>
      <c r="G25" s="6">
        <v>150</v>
      </c>
      <c r="H25" s="5">
        <v>0.8306</v>
      </c>
      <c r="I25" s="4">
        <f t="shared" si="0"/>
        <v>0.69217323101603356</v>
      </c>
      <c r="J25" s="3">
        <f t="shared" si="1"/>
        <v>0.30782676898396644</v>
      </c>
      <c r="K25" s="2">
        <f t="shared" si="2"/>
        <v>0.72198568303021671</v>
      </c>
      <c r="L25" s="1">
        <f t="shared" si="3"/>
        <v>0.27801431696978324</v>
      </c>
    </row>
    <row r="26" spans="2:12" ht="15" thickBot="1" x14ac:dyDescent="0.35">
      <c r="B26" t="s">
        <v>1</v>
      </c>
      <c r="C26" t="s">
        <v>192</v>
      </c>
      <c r="D26" s="7">
        <v>176</v>
      </c>
      <c r="E26" s="6">
        <v>200</v>
      </c>
      <c r="F26" s="5">
        <v>0.77900000000000003</v>
      </c>
      <c r="G26" s="6">
        <v>150</v>
      </c>
      <c r="H26" s="5">
        <v>0.8306</v>
      </c>
      <c r="I26" s="4">
        <f t="shared" si="0"/>
        <v>0.69217323101603356</v>
      </c>
      <c r="J26" s="3">
        <f t="shared" si="1"/>
        <v>0.30782676898396644</v>
      </c>
      <c r="K26" s="2">
        <f t="shared" si="2"/>
        <v>0.72198568303021671</v>
      </c>
      <c r="L26" s="1">
        <f t="shared" si="3"/>
        <v>0.27801431696978324</v>
      </c>
    </row>
    <row r="27" spans="2:12" ht="15" thickBot="1" x14ac:dyDescent="0.35">
      <c r="B27" t="s">
        <v>1</v>
      </c>
      <c r="C27" t="s">
        <v>191</v>
      </c>
      <c r="D27" s="7">
        <v>176</v>
      </c>
      <c r="E27" s="6">
        <v>200</v>
      </c>
      <c r="F27" s="5">
        <v>0.77900000000000003</v>
      </c>
      <c r="G27" s="6">
        <v>150</v>
      </c>
      <c r="H27" s="5">
        <v>0.8306</v>
      </c>
      <c r="I27" s="4">
        <f t="shared" si="0"/>
        <v>0.69217323101603356</v>
      </c>
      <c r="J27" s="3">
        <f t="shared" si="1"/>
        <v>0.30782676898396644</v>
      </c>
      <c r="K27" s="2">
        <f t="shared" si="2"/>
        <v>0.72198568303021671</v>
      </c>
      <c r="L27" s="1">
        <f t="shared" si="3"/>
        <v>0.27801431696978324</v>
      </c>
    </row>
    <row r="28" spans="2:12" ht="15" thickBot="1" x14ac:dyDescent="0.35">
      <c r="B28" t="s">
        <v>1</v>
      </c>
      <c r="C28" t="s">
        <v>190</v>
      </c>
      <c r="D28" s="7">
        <v>176</v>
      </c>
      <c r="E28" s="6">
        <v>200</v>
      </c>
      <c r="F28" s="5">
        <v>0.77900000000000003</v>
      </c>
      <c r="G28" s="6">
        <v>150</v>
      </c>
      <c r="H28" s="5">
        <v>0.8306</v>
      </c>
      <c r="I28" s="4">
        <f t="shared" si="0"/>
        <v>0.69217323101603356</v>
      </c>
      <c r="J28" s="3">
        <f t="shared" si="1"/>
        <v>0.30782676898396644</v>
      </c>
      <c r="K28" s="2">
        <f t="shared" si="2"/>
        <v>0.72198568303021671</v>
      </c>
      <c r="L28" s="1">
        <f t="shared" si="3"/>
        <v>0.27801431696978324</v>
      </c>
    </row>
    <row r="29" spans="2:12" ht="15" thickBot="1" x14ac:dyDescent="0.35">
      <c r="B29" t="s">
        <v>1</v>
      </c>
      <c r="C29" t="s">
        <v>189</v>
      </c>
      <c r="D29" s="7">
        <v>176</v>
      </c>
      <c r="E29" s="6">
        <v>200</v>
      </c>
      <c r="F29" s="5">
        <v>0.77900000000000003</v>
      </c>
      <c r="G29" s="6">
        <v>150</v>
      </c>
      <c r="H29" s="5">
        <v>0.8306</v>
      </c>
      <c r="I29" s="4">
        <f t="shared" si="0"/>
        <v>0.69217323101603356</v>
      </c>
      <c r="J29" s="3">
        <f t="shared" si="1"/>
        <v>0.30782676898396644</v>
      </c>
      <c r="K29" s="2">
        <f t="shared" si="2"/>
        <v>0.72198568303021671</v>
      </c>
      <c r="L29" s="1">
        <f t="shared" si="3"/>
        <v>0.27801431696978324</v>
      </c>
    </row>
    <row r="30" spans="2:12" ht="15" thickBot="1" x14ac:dyDescent="0.35">
      <c r="B30" t="s">
        <v>1</v>
      </c>
      <c r="C30" t="s">
        <v>188</v>
      </c>
      <c r="D30" s="7">
        <v>176</v>
      </c>
      <c r="E30" s="6">
        <v>200</v>
      </c>
      <c r="F30" s="5">
        <v>0.77900000000000003</v>
      </c>
      <c r="G30" s="6">
        <v>150</v>
      </c>
      <c r="H30" s="5">
        <v>0.8306</v>
      </c>
      <c r="I30" s="4">
        <f t="shared" si="0"/>
        <v>0.69217323101603356</v>
      </c>
      <c r="J30" s="3">
        <f t="shared" si="1"/>
        <v>0.30782676898396644</v>
      </c>
      <c r="K30" s="2">
        <f t="shared" si="2"/>
        <v>0.72198568303021671</v>
      </c>
      <c r="L30" s="1">
        <f t="shared" si="3"/>
        <v>0.27801431696978324</v>
      </c>
    </row>
    <row r="31" spans="2:12" ht="15" thickBot="1" x14ac:dyDescent="0.35">
      <c r="B31" t="s">
        <v>1</v>
      </c>
      <c r="C31" t="s">
        <v>187</v>
      </c>
      <c r="D31" s="7">
        <v>176</v>
      </c>
      <c r="E31" s="6">
        <v>200</v>
      </c>
      <c r="F31" s="5">
        <v>0.77900000000000003</v>
      </c>
      <c r="G31" s="6">
        <v>150</v>
      </c>
      <c r="H31" s="5">
        <v>0.8306</v>
      </c>
      <c r="I31" s="4">
        <f t="shared" si="0"/>
        <v>0.69217323101603356</v>
      </c>
      <c r="J31" s="3">
        <f t="shared" si="1"/>
        <v>0.30782676898396644</v>
      </c>
      <c r="K31" s="2">
        <f t="shared" si="2"/>
        <v>0.72198568303021671</v>
      </c>
      <c r="L31" s="1">
        <f t="shared" si="3"/>
        <v>0.27801431696978324</v>
      </c>
    </row>
    <row r="32" spans="2:12" ht="15" thickBot="1" x14ac:dyDescent="0.35">
      <c r="B32" t="s">
        <v>1</v>
      </c>
      <c r="C32" t="s">
        <v>186</v>
      </c>
      <c r="D32" s="7">
        <v>176</v>
      </c>
      <c r="E32" s="6">
        <v>200</v>
      </c>
      <c r="F32" s="5">
        <v>0.77900000000000003</v>
      </c>
      <c r="G32" s="6">
        <v>150</v>
      </c>
      <c r="H32" s="5">
        <v>0.8306</v>
      </c>
      <c r="I32" s="4">
        <f t="shared" si="0"/>
        <v>0.69217323101603356</v>
      </c>
      <c r="J32" s="3">
        <f t="shared" si="1"/>
        <v>0.30782676898396644</v>
      </c>
      <c r="K32" s="2">
        <f t="shared" si="2"/>
        <v>0.72198568303021671</v>
      </c>
      <c r="L32" s="1">
        <f t="shared" si="3"/>
        <v>0.27801431696978324</v>
      </c>
    </row>
    <row r="33" spans="2:12" ht="15" thickBot="1" x14ac:dyDescent="0.35">
      <c r="B33" t="s">
        <v>1</v>
      </c>
      <c r="C33" t="s">
        <v>185</v>
      </c>
      <c r="D33" s="7">
        <v>176</v>
      </c>
      <c r="E33" s="6">
        <v>200</v>
      </c>
      <c r="F33" s="5">
        <v>0.77900000000000003</v>
      </c>
      <c r="G33" s="6">
        <v>150</v>
      </c>
      <c r="H33" s="5">
        <v>0.8306</v>
      </c>
      <c r="I33" s="4">
        <f t="shared" si="0"/>
        <v>0.69217323101603356</v>
      </c>
      <c r="J33" s="3">
        <f t="shared" si="1"/>
        <v>0.30782676898396644</v>
      </c>
      <c r="K33" s="2">
        <f t="shared" si="2"/>
        <v>0.72198568303021671</v>
      </c>
      <c r="L33" s="1">
        <f t="shared" si="3"/>
        <v>0.27801431696978324</v>
      </c>
    </row>
    <row r="34" spans="2:12" ht="15" thickBot="1" x14ac:dyDescent="0.35">
      <c r="B34" t="s">
        <v>1</v>
      </c>
      <c r="C34" t="s">
        <v>184</v>
      </c>
      <c r="D34" s="7">
        <v>176</v>
      </c>
      <c r="E34" s="6">
        <v>200</v>
      </c>
      <c r="F34" s="5">
        <v>0.77900000000000003</v>
      </c>
      <c r="G34" s="6">
        <v>150</v>
      </c>
      <c r="H34" s="5">
        <v>0.8306</v>
      </c>
      <c r="I34" s="4">
        <f t="shared" si="0"/>
        <v>0.69217323101603356</v>
      </c>
      <c r="J34" s="3">
        <f t="shared" si="1"/>
        <v>0.30782676898396644</v>
      </c>
      <c r="K34" s="2">
        <f t="shared" si="2"/>
        <v>0.72198568303021671</v>
      </c>
      <c r="L34" s="1">
        <f t="shared" si="3"/>
        <v>0.27801431696978324</v>
      </c>
    </row>
    <row r="35" spans="2:12" ht="15" thickBot="1" x14ac:dyDescent="0.35">
      <c r="B35" t="s">
        <v>1</v>
      </c>
      <c r="C35" t="s">
        <v>183</v>
      </c>
      <c r="D35" s="7">
        <v>176</v>
      </c>
      <c r="E35" s="6">
        <v>200</v>
      </c>
      <c r="F35" s="5">
        <v>0.77900000000000003</v>
      </c>
      <c r="G35" s="6">
        <v>150</v>
      </c>
      <c r="H35" s="5">
        <v>0.8306</v>
      </c>
      <c r="I35" s="4">
        <f t="shared" si="0"/>
        <v>0.69217323101603356</v>
      </c>
      <c r="J35" s="3">
        <f t="shared" si="1"/>
        <v>0.30782676898396644</v>
      </c>
      <c r="K35" s="2">
        <f t="shared" si="2"/>
        <v>0.72198568303021671</v>
      </c>
      <c r="L35" s="1">
        <f t="shared" si="3"/>
        <v>0.27801431696978324</v>
      </c>
    </row>
    <row r="36" spans="2:12" ht="15" thickBot="1" x14ac:dyDescent="0.35">
      <c r="B36" t="s">
        <v>1</v>
      </c>
      <c r="C36" t="s">
        <v>182</v>
      </c>
      <c r="D36" s="7">
        <v>176</v>
      </c>
      <c r="E36" s="6">
        <v>200</v>
      </c>
      <c r="F36" s="5">
        <v>0.77900000000000003</v>
      </c>
      <c r="G36" s="6">
        <v>150</v>
      </c>
      <c r="H36" s="5">
        <v>0.8306</v>
      </c>
      <c r="I36" s="4">
        <f t="shared" si="0"/>
        <v>0.69217323101603356</v>
      </c>
      <c r="J36" s="3">
        <f t="shared" si="1"/>
        <v>0.30782676898396644</v>
      </c>
      <c r="K36" s="2">
        <f t="shared" si="2"/>
        <v>0.72198568303021671</v>
      </c>
      <c r="L36" s="1">
        <f t="shared" si="3"/>
        <v>0.27801431696978324</v>
      </c>
    </row>
    <row r="37" spans="2:12" ht="15" thickBot="1" x14ac:dyDescent="0.35">
      <c r="B37" t="s">
        <v>1</v>
      </c>
      <c r="C37" t="s">
        <v>181</v>
      </c>
      <c r="D37" s="7">
        <v>176</v>
      </c>
      <c r="E37" s="6">
        <v>200</v>
      </c>
      <c r="F37" s="5">
        <v>0.77900000000000003</v>
      </c>
      <c r="G37" s="6">
        <v>150</v>
      </c>
      <c r="H37" s="5">
        <v>0.8306</v>
      </c>
      <c r="I37" s="4">
        <f t="shared" si="0"/>
        <v>0.69217323101603356</v>
      </c>
      <c r="J37" s="3">
        <f t="shared" si="1"/>
        <v>0.30782676898396644</v>
      </c>
      <c r="K37" s="2">
        <f t="shared" si="2"/>
        <v>0.72198568303021671</v>
      </c>
      <c r="L37" s="1">
        <f t="shared" si="3"/>
        <v>0.27801431696978324</v>
      </c>
    </row>
    <row r="38" spans="2:12" ht="15" thickBot="1" x14ac:dyDescent="0.35">
      <c r="B38" t="s">
        <v>1</v>
      </c>
      <c r="C38" t="s">
        <v>180</v>
      </c>
      <c r="D38" s="7">
        <v>176</v>
      </c>
      <c r="E38" s="6">
        <v>200</v>
      </c>
      <c r="F38" s="5">
        <v>0.77900000000000003</v>
      </c>
      <c r="G38" s="6">
        <v>150</v>
      </c>
      <c r="H38" s="5">
        <v>0.8306</v>
      </c>
      <c r="I38" s="4">
        <f t="shared" si="0"/>
        <v>0.69217323101603356</v>
      </c>
      <c r="J38" s="3">
        <f t="shared" si="1"/>
        <v>0.30782676898396644</v>
      </c>
      <c r="K38" s="2">
        <f t="shared" si="2"/>
        <v>0.72198568303021671</v>
      </c>
      <c r="L38" s="1">
        <f t="shared" si="3"/>
        <v>0.27801431696978324</v>
      </c>
    </row>
    <row r="39" spans="2:12" ht="15" thickBot="1" x14ac:dyDescent="0.35">
      <c r="B39" t="s">
        <v>1</v>
      </c>
      <c r="C39" t="s">
        <v>179</v>
      </c>
      <c r="D39" s="7">
        <v>176</v>
      </c>
      <c r="E39" s="6">
        <v>200</v>
      </c>
      <c r="F39" s="5">
        <v>0.77900000000000003</v>
      </c>
      <c r="G39" s="6">
        <v>150</v>
      </c>
      <c r="H39" s="5">
        <v>0.8306</v>
      </c>
      <c r="I39" s="4">
        <f t="shared" si="0"/>
        <v>0.69217323101603356</v>
      </c>
      <c r="J39" s="3">
        <f t="shared" si="1"/>
        <v>0.30782676898396644</v>
      </c>
      <c r="K39" s="2">
        <f t="shared" si="2"/>
        <v>0.72198568303021671</v>
      </c>
      <c r="L39" s="1">
        <f t="shared" si="3"/>
        <v>0.27801431696978324</v>
      </c>
    </row>
    <row r="40" spans="2:12" ht="15" thickBot="1" x14ac:dyDescent="0.35">
      <c r="B40" t="s">
        <v>1</v>
      </c>
      <c r="C40" t="s">
        <v>178</v>
      </c>
      <c r="D40" s="7">
        <v>176</v>
      </c>
      <c r="E40" s="6">
        <v>200</v>
      </c>
      <c r="F40" s="5">
        <v>0.77900000000000003</v>
      </c>
      <c r="G40" s="6">
        <v>150</v>
      </c>
      <c r="H40" s="5">
        <v>0.8306</v>
      </c>
      <c r="I40" s="4">
        <f t="shared" si="0"/>
        <v>0.69217323101603356</v>
      </c>
      <c r="J40" s="3">
        <f t="shared" si="1"/>
        <v>0.30782676898396644</v>
      </c>
      <c r="K40" s="2">
        <f t="shared" si="2"/>
        <v>0.72198568303021671</v>
      </c>
      <c r="L40" s="1">
        <f t="shared" si="3"/>
        <v>0.27801431696978324</v>
      </c>
    </row>
    <row r="41" spans="2:12" ht="15" thickBot="1" x14ac:dyDescent="0.35">
      <c r="B41" t="s">
        <v>1</v>
      </c>
      <c r="C41" t="s">
        <v>177</v>
      </c>
      <c r="D41" s="7">
        <v>176</v>
      </c>
      <c r="E41" s="6">
        <v>200</v>
      </c>
      <c r="F41" s="5">
        <v>0.77900000000000003</v>
      </c>
      <c r="G41" s="6">
        <v>150</v>
      </c>
      <c r="H41" s="5">
        <v>0.8306</v>
      </c>
      <c r="I41" s="4">
        <f t="shared" si="0"/>
        <v>0.69217323101603356</v>
      </c>
      <c r="J41" s="3">
        <f t="shared" si="1"/>
        <v>0.30782676898396644</v>
      </c>
      <c r="K41" s="2">
        <f t="shared" si="2"/>
        <v>0.72198568303021671</v>
      </c>
      <c r="L41" s="1">
        <f t="shared" si="3"/>
        <v>0.27801431696978324</v>
      </c>
    </row>
    <row r="42" spans="2:12" ht="15" thickBot="1" x14ac:dyDescent="0.35">
      <c r="B42" t="s">
        <v>1</v>
      </c>
      <c r="C42" t="s">
        <v>176</v>
      </c>
      <c r="D42" s="7">
        <v>176</v>
      </c>
      <c r="E42" s="6">
        <v>200</v>
      </c>
      <c r="F42" s="5">
        <v>0.77900000000000003</v>
      </c>
      <c r="G42" s="6">
        <v>150</v>
      </c>
      <c r="H42" s="5">
        <v>0.8306</v>
      </c>
      <c r="I42" s="4">
        <f t="shared" si="0"/>
        <v>0.69217323101603356</v>
      </c>
      <c r="J42" s="3">
        <f t="shared" si="1"/>
        <v>0.30782676898396644</v>
      </c>
      <c r="K42" s="2">
        <f t="shared" si="2"/>
        <v>0.72198568303021671</v>
      </c>
      <c r="L42" s="1">
        <f t="shared" si="3"/>
        <v>0.27801431696978324</v>
      </c>
    </row>
    <row r="43" spans="2:12" ht="15" thickBot="1" x14ac:dyDescent="0.35">
      <c r="B43" t="s">
        <v>1</v>
      </c>
      <c r="C43" t="s">
        <v>175</v>
      </c>
      <c r="D43" s="7">
        <v>176</v>
      </c>
      <c r="E43" s="6">
        <v>200</v>
      </c>
      <c r="F43" s="5">
        <v>0.77900000000000003</v>
      </c>
      <c r="G43" s="6">
        <v>150</v>
      </c>
      <c r="H43" s="5">
        <v>0.8306</v>
      </c>
      <c r="I43" s="4">
        <f t="shared" si="0"/>
        <v>0.69217323101603356</v>
      </c>
      <c r="J43" s="3">
        <f t="shared" si="1"/>
        <v>0.30782676898396644</v>
      </c>
      <c r="K43" s="2">
        <f t="shared" si="2"/>
        <v>0.72198568303021671</v>
      </c>
      <c r="L43" s="1">
        <f t="shared" si="3"/>
        <v>0.27801431696978324</v>
      </c>
    </row>
    <row r="44" spans="2:12" ht="15" thickBot="1" x14ac:dyDescent="0.35">
      <c r="B44" t="s">
        <v>1</v>
      </c>
      <c r="C44" t="s">
        <v>174</v>
      </c>
      <c r="D44" s="7">
        <v>176</v>
      </c>
      <c r="E44" s="6">
        <v>200</v>
      </c>
      <c r="F44" s="5">
        <v>0.77900000000000003</v>
      </c>
      <c r="G44" s="6">
        <v>150</v>
      </c>
      <c r="H44" s="5">
        <v>0.8306</v>
      </c>
      <c r="I44" s="4">
        <f t="shared" si="0"/>
        <v>0.69217323101603356</v>
      </c>
      <c r="J44" s="3">
        <f t="shared" si="1"/>
        <v>0.30782676898396644</v>
      </c>
      <c r="K44" s="2">
        <f t="shared" si="2"/>
        <v>0.72198568303021671</v>
      </c>
      <c r="L44" s="1">
        <f t="shared" si="3"/>
        <v>0.27801431696978324</v>
      </c>
    </row>
    <row r="45" spans="2:12" ht="15" thickBot="1" x14ac:dyDescent="0.35">
      <c r="B45" t="s">
        <v>1</v>
      </c>
      <c r="C45" t="s">
        <v>173</v>
      </c>
      <c r="D45" s="7">
        <v>176</v>
      </c>
      <c r="E45" s="6">
        <v>200</v>
      </c>
      <c r="F45" s="5">
        <v>0.77900000000000003</v>
      </c>
      <c r="G45" s="6">
        <v>150</v>
      </c>
      <c r="H45" s="5">
        <v>0.8306</v>
      </c>
      <c r="I45" s="4">
        <f t="shared" si="0"/>
        <v>0.69217323101603356</v>
      </c>
      <c r="J45" s="3">
        <f t="shared" si="1"/>
        <v>0.30782676898396644</v>
      </c>
      <c r="K45" s="2">
        <f t="shared" si="2"/>
        <v>0.72198568303021671</v>
      </c>
      <c r="L45" s="1">
        <f t="shared" si="3"/>
        <v>0.27801431696978324</v>
      </c>
    </row>
    <row r="46" spans="2:12" ht="15" thickBot="1" x14ac:dyDescent="0.35">
      <c r="B46" t="s">
        <v>1</v>
      </c>
      <c r="C46" t="s">
        <v>172</v>
      </c>
      <c r="D46" s="7">
        <v>176</v>
      </c>
      <c r="E46" s="6">
        <v>200</v>
      </c>
      <c r="F46" s="5">
        <v>0.77900000000000003</v>
      </c>
      <c r="G46" s="6">
        <v>150</v>
      </c>
      <c r="H46" s="5">
        <v>0.8306</v>
      </c>
      <c r="I46" s="4">
        <f t="shared" si="0"/>
        <v>0.69217323101603356</v>
      </c>
      <c r="J46" s="3">
        <f t="shared" si="1"/>
        <v>0.30782676898396644</v>
      </c>
      <c r="K46" s="2">
        <f t="shared" si="2"/>
        <v>0.72198568303021671</v>
      </c>
      <c r="L46" s="1">
        <f t="shared" si="3"/>
        <v>0.27801431696978324</v>
      </c>
    </row>
    <row r="47" spans="2:12" ht="15" thickBot="1" x14ac:dyDescent="0.35">
      <c r="B47" t="s">
        <v>1</v>
      </c>
      <c r="C47" t="s">
        <v>171</v>
      </c>
      <c r="D47" s="7">
        <v>176</v>
      </c>
      <c r="E47" s="6">
        <v>200</v>
      </c>
      <c r="F47" s="5">
        <v>0.77900000000000003</v>
      </c>
      <c r="G47" s="6">
        <v>150</v>
      </c>
      <c r="H47" s="5">
        <v>0.8306</v>
      </c>
      <c r="I47" s="4">
        <f t="shared" si="0"/>
        <v>0.69217323101603356</v>
      </c>
      <c r="J47" s="3">
        <f t="shared" si="1"/>
        <v>0.30782676898396644</v>
      </c>
      <c r="K47" s="2">
        <f t="shared" si="2"/>
        <v>0.72198568303021671</v>
      </c>
      <c r="L47" s="1">
        <f t="shared" si="3"/>
        <v>0.27801431696978324</v>
      </c>
    </row>
    <row r="48" spans="2:12" ht="15" thickBot="1" x14ac:dyDescent="0.35">
      <c r="B48" t="s">
        <v>1</v>
      </c>
      <c r="C48" t="s">
        <v>170</v>
      </c>
      <c r="D48" s="7">
        <v>176</v>
      </c>
      <c r="E48" s="6">
        <v>200</v>
      </c>
      <c r="F48" s="5">
        <v>0.77900000000000003</v>
      </c>
      <c r="G48" s="6">
        <v>150</v>
      </c>
      <c r="H48" s="5">
        <v>0.8306</v>
      </c>
      <c r="I48" s="4">
        <f t="shared" si="0"/>
        <v>0.69217323101603356</v>
      </c>
      <c r="J48" s="3">
        <f t="shared" si="1"/>
        <v>0.30782676898396644</v>
      </c>
      <c r="K48" s="2">
        <f t="shared" si="2"/>
        <v>0.72198568303021671</v>
      </c>
      <c r="L48" s="1">
        <f t="shared" si="3"/>
        <v>0.27801431696978324</v>
      </c>
    </row>
    <row r="49" spans="2:12" ht="15" thickBot="1" x14ac:dyDescent="0.35">
      <c r="B49" t="s">
        <v>1</v>
      </c>
      <c r="C49" t="s">
        <v>169</v>
      </c>
      <c r="D49" s="7">
        <v>176</v>
      </c>
      <c r="E49" s="6">
        <v>200</v>
      </c>
      <c r="F49" s="5">
        <v>0.77900000000000003</v>
      </c>
      <c r="G49" s="6">
        <v>150</v>
      </c>
      <c r="H49" s="5">
        <v>0.8306</v>
      </c>
      <c r="I49" s="4">
        <f t="shared" si="0"/>
        <v>0.69217323101603356</v>
      </c>
      <c r="J49" s="3">
        <f t="shared" si="1"/>
        <v>0.30782676898396644</v>
      </c>
      <c r="K49" s="2">
        <f t="shared" si="2"/>
        <v>0.72198568303021671</v>
      </c>
      <c r="L49" s="1">
        <f t="shared" si="3"/>
        <v>0.27801431696978324</v>
      </c>
    </row>
    <row r="50" spans="2:12" ht="15" thickBot="1" x14ac:dyDescent="0.35">
      <c r="B50" t="s">
        <v>1</v>
      </c>
      <c r="C50" t="s">
        <v>168</v>
      </c>
      <c r="D50" s="7">
        <v>176</v>
      </c>
      <c r="E50" s="6">
        <v>200</v>
      </c>
      <c r="F50" s="5">
        <v>0.77900000000000003</v>
      </c>
      <c r="G50" s="6">
        <v>150</v>
      </c>
      <c r="H50" s="5">
        <v>0.8306</v>
      </c>
      <c r="I50" s="4">
        <f t="shared" si="0"/>
        <v>0.69217323101603356</v>
      </c>
      <c r="J50" s="3">
        <f t="shared" si="1"/>
        <v>0.30782676898396644</v>
      </c>
      <c r="K50" s="2">
        <f t="shared" si="2"/>
        <v>0.72198568303021671</v>
      </c>
      <c r="L50" s="1">
        <f t="shared" si="3"/>
        <v>0.27801431696978324</v>
      </c>
    </row>
    <row r="51" spans="2:12" ht="15" thickBot="1" x14ac:dyDescent="0.35">
      <c r="B51" t="s">
        <v>1</v>
      </c>
      <c r="C51" t="s">
        <v>167</v>
      </c>
      <c r="D51" s="7">
        <v>176</v>
      </c>
      <c r="E51" s="6">
        <v>200</v>
      </c>
      <c r="F51" s="5">
        <v>0.77900000000000003</v>
      </c>
      <c r="G51" s="6">
        <v>150</v>
      </c>
      <c r="H51" s="5">
        <v>0.8306</v>
      </c>
      <c r="I51" s="4">
        <f t="shared" si="0"/>
        <v>0.69217323101603356</v>
      </c>
      <c r="J51" s="3">
        <f t="shared" si="1"/>
        <v>0.30782676898396644</v>
      </c>
      <c r="K51" s="2">
        <f t="shared" si="2"/>
        <v>0.72198568303021671</v>
      </c>
      <c r="L51" s="1">
        <f t="shared" si="3"/>
        <v>0.27801431696978324</v>
      </c>
    </row>
    <row r="52" spans="2:12" ht="15" thickBot="1" x14ac:dyDescent="0.35">
      <c r="B52" t="s">
        <v>1</v>
      </c>
      <c r="C52" t="s">
        <v>166</v>
      </c>
      <c r="D52" s="7">
        <v>176</v>
      </c>
      <c r="E52" s="6">
        <v>200</v>
      </c>
      <c r="F52" s="5">
        <v>0.77900000000000003</v>
      </c>
      <c r="G52" s="6">
        <v>150</v>
      </c>
      <c r="H52" s="5">
        <v>0.8306</v>
      </c>
      <c r="I52" s="4">
        <f t="shared" si="0"/>
        <v>0.69217323101603356</v>
      </c>
      <c r="J52" s="3">
        <f t="shared" si="1"/>
        <v>0.30782676898396644</v>
      </c>
      <c r="K52" s="2">
        <f t="shared" si="2"/>
        <v>0.72198568303021671</v>
      </c>
      <c r="L52" s="1">
        <f t="shared" si="3"/>
        <v>0.27801431696978324</v>
      </c>
    </row>
    <row r="53" spans="2:12" ht="15" thickBot="1" x14ac:dyDescent="0.35">
      <c r="B53" t="s">
        <v>1</v>
      </c>
      <c r="C53" t="s">
        <v>165</v>
      </c>
      <c r="D53" s="7">
        <v>176</v>
      </c>
      <c r="E53" s="6">
        <v>200</v>
      </c>
      <c r="F53" s="5">
        <v>0.77900000000000003</v>
      </c>
      <c r="G53" s="6">
        <v>150</v>
      </c>
      <c r="H53" s="5">
        <v>0.8306</v>
      </c>
      <c r="I53" s="4">
        <f t="shared" si="0"/>
        <v>0.69217323101603356</v>
      </c>
      <c r="J53" s="3">
        <f t="shared" si="1"/>
        <v>0.30782676898396644</v>
      </c>
      <c r="K53" s="2">
        <f t="shared" si="2"/>
        <v>0.72198568303021671</v>
      </c>
      <c r="L53" s="1">
        <f t="shared" si="3"/>
        <v>0.27801431696978324</v>
      </c>
    </row>
    <row r="54" spans="2:12" ht="15" thickBot="1" x14ac:dyDescent="0.35">
      <c r="B54" t="s">
        <v>1</v>
      </c>
      <c r="C54" t="s">
        <v>164</v>
      </c>
      <c r="D54" s="7">
        <v>176</v>
      </c>
      <c r="E54" s="6">
        <v>200</v>
      </c>
      <c r="F54" s="5">
        <v>0.77900000000000003</v>
      </c>
      <c r="G54" s="6">
        <v>150</v>
      </c>
      <c r="H54" s="5">
        <v>0.8306</v>
      </c>
      <c r="I54" s="4">
        <f t="shared" si="0"/>
        <v>0.69217323101603356</v>
      </c>
      <c r="J54" s="3">
        <f t="shared" si="1"/>
        <v>0.30782676898396644</v>
      </c>
      <c r="K54" s="2">
        <f t="shared" si="2"/>
        <v>0.72198568303021671</v>
      </c>
      <c r="L54" s="1">
        <f t="shared" si="3"/>
        <v>0.27801431696978324</v>
      </c>
    </row>
    <row r="55" spans="2:12" ht="15" thickBot="1" x14ac:dyDescent="0.35">
      <c r="B55" t="s">
        <v>1</v>
      </c>
      <c r="C55" t="s">
        <v>163</v>
      </c>
      <c r="D55" s="7">
        <v>176</v>
      </c>
      <c r="E55" s="6">
        <v>200</v>
      </c>
      <c r="F55" s="5">
        <v>0.77900000000000003</v>
      </c>
      <c r="G55" s="6">
        <v>150</v>
      </c>
      <c r="H55" s="5">
        <v>0.8306</v>
      </c>
      <c r="I55" s="4">
        <f t="shared" si="0"/>
        <v>0.69217323101603356</v>
      </c>
      <c r="J55" s="3">
        <f t="shared" si="1"/>
        <v>0.30782676898396644</v>
      </c>
      <c r="K55" s="2">
        <f t="shared" si="2"/>
        <v>0.72198568303021671</v>
      </c>
      <c r="L55" s="1">
        <f t="shared" si="3"/>
        <v>0.27801431696978324</v>
      </c>
    </row>
    <row r="56" spans="2:12" ht="15" thickBot="1" x14ac:dyDescent="0.35">
      <c r="B56" t="s">
        <v>1</v>
      </c>
      <c r="C56" t="s">
        <v>162</v>
      </c>
      <c r="D56" s="7">
        <v>176</v>
      </c>
      <c r="E56" s="6">
        <v>200</v>
      </c>
      <c r="F56" s="5">
        <v>0.77900000000000003</v>
      </c>
      <c r="G56" s="6">
        <v>150</v>
      </c>
      <c r="H56" s="5">
        <v>0.8306</v>
      </c>
      <c r="I56" s="4">
        <f t="shared" si="0"/>
        <v>0.69217323101603356</v>
      </c>
      <c r="J56" s="3">
        <f t="shared" si="1"/>
        <v>0.30782676898396644</v>
      </c>
      <c r="K56" s="2">
        <f t="shared" si="2"/>
        <v>0.72198568303021671</v>
      </c>
      <c r="L56" s="1">
        <f t="shared" si="3"/>
        <v>0.27801431696978324</v>
      </c>
    </row>
    <row r="57" spans="2:12" ht="15" thickBot="1" x14ac:dyDescent="0.35">
      <c r="B57" t="s">
        <v>1</v>
      </c>
      <c r="C57" t="s">
        <v>161</v>
      </c>
      <c r="D57" s="7">
        <v>176</v>
      </c>
      <c r="E57" s="6">
        <v>200</v>
      </c>
      <c r="F57" s="5">
        <v>0.77900000000000003</v>
      </c>
      <c r="G57" s="6">
        <v>150</v>
      </c>
      <c r="H57" s="5">
        <v>0.8306</v>
      </c>
      <c r="I57" s="4">
        <f t="shared" si="0"/>
        <v>0.69217323101603356</v>
      </c>
      <c r="J57" s="3">
        <f t="shared" si="1"/>
        <v>0.30782676898396644</v>
      </c>
      <c r="K57" s="2">
        <f t="shared" si="2"/>
        <v>0.72198568303021671</v>
      </c>
      <c r="L57" s="1">
        <f t="shared" si="3"/>
        <v>0.27801431696978324</v>
      </c>
    </row>
    <row r="58" spans="2:12" ht="15" thickBot="1" x14ac:dyDescent="0.35">
      <c r="B58" t="s">
        <v>1</v>
      </c>
      <c r="C58" t="s">
        <v>160</v>
      </c>
      <c r="D58" s="7">
        <v>176</v>
      </c>
      <c r="E58" s="6">
        <v>200</v>
      </c>
      <c r="F58" s="5">
        <v>0.77900000000000003</v>
      </c>
      <c r="G58" s="6">
        <v>150</v>
      </c>
      <c r="H58" s="5">
        <v>0.8306</v>
      </c>
      <c r="I58" s="4">
        <f t="shared" si="0"/>
        <v>0.69217323101603356</v>
      </c>
      <c r="J58" s="3">
        <f t="shared" si="1"/>
        <v>0.30782676898396644</v>
      </c>
      <c r="K58" s="2">
        <f t="shared" si="2"/>
        <v>0.72198568303021671</v>
      </c>
      <c r="L58" s="1">
        <f t="shared" si="3"/>
        <v>0.27801431696978324</v>
      </c>
    </row>
    <row r="59" spans="2:12" ht="15" thickBot="1" x14ac:dyDescent="0.35">
      <c r="B59" t="s">
        <v>1</v>
      </c>
      <c r="C59" t="s">
        <v>159</v>
      </c>
      <c r="D59" s="7">
        <v>176</v>
      </c>
      <c r="E59" s="6">
        <v>200</v>
      </c>
      <c r="F59" s="5">
        <v>0.77900000000000003</v>
      </c>
      <c r="G59" s="6">
        <v>150</v>
      </c>
      <c r="H59" s="5">
        <v>0.8306</v>
      </c>
      <c r="I59" s="4">
        <f t="shared" si="0"/>
        <v>0.69217323101603356</v>
      </c>
      <c r="J59" s="3">
        <f t="shared" si="1"/>
        <v>0.30782676898396644</v>
      </c>
      <c r="K59" s="2">
        <f t="shared" si="2"/>
        <v>0.72198568303021671</v>
      </c>
      <c r="L59" s="1">
        <f t="shared" si="3"/>
        <v>0.27801431696978324</v>
      </c>
    </row>
    <row r="60" spans="2:12" ht="15" thickBot="1" x14ac:dyDescent="0.35">
      <c r="B60" t="s">
        <v>1</v>
      </c>
      <c r="C60" t="s">
        <v>158</v>
      </c>
      <c r="D60" s="7">
        <v>176</v>
      </c>
      <c r="E60" s="6">
        <v>200</v>
      </c>
      <c r="F60" s="5">
        <v>0.77900000000000003</v>
      </c>
      <c r="G60" s="6">
        <v>150</v>
      </c>
      <c r="H60" s="5">
        <v>0.8306</v>
      </c>
      <c r="I60" s="4">
        <f t="shared" si="0"/>
        <v>0.69217323101603356</v>
      </c>
      <c r="J60" s="3">
        <f t="shared" si="1"/>
        <v>0.30782676898396644</v>
      </c>
      <c r="K60" s="2">
        <f t="shared" si="2"/>
        <v>0.72198568303021671</v>
      </c>
      <c r="L60" s="1">
        <f t="shared" si="3"/>
        <v>0.27801431696978324</v>
      </c>
    </row>
    <row r="61" spans="2:12" ht="15" thickBot="1" x14ac:dyDescent="0.35">
      <c r="B61" t="s">
        <v>1</v>
      </c>
      <c r="C61" t="s">
        <v>157</v>
      </c>
      <c r="D61" s="7">
        <v>176</v>
      </c>
      <c r="E61" s="6">
        <v>200</v>
      </c>
      <c r="F61" s="5">
        <v>0.77900000000000003</v>
      </c>
      <c r="G61" s="6">
        <v>150</v>
      </c>
      <c r="H61" s="5">
        <v>0.8306</v>
      </c>
      <c r="I61" s="4">
        <f t="shared" si="0"/>
        <v>0.69217323101603356</v>
      </c>
      <c r="J61" s="3">
        <f t="shared" si="1"/>
        <v>0.30782676898396644</v>
      </c>
      <c r="K61" s="2">
        <f t="shared" si="2"/>
        <v>0.72198568303021671</v>
      </c>
      <c r="L61" s="1">
        <f t="shared" si="3"/>
        <v>0.27801431696978324</v>
      </c>
    </row>
    <row r="62" spans="2:12" ht="15" thickBot="1" x14ac:dyDescent="0.35">
      <c r="B62" t="s">
        <v>1</v>
      </c>
      <c r="C62" t="s">
        <v>156</v>
      </c>
      <c r="D62" s="7">
        <v>176</v>
      </c>
      <c r="E62" s="6">
        <v>200</v>
      </c>
      <c r="F62" s="5">
        <v>0.77900000000000003</v>
      </c>
      <c r="G62" s="6">
        <v>150</v>
      </c>
      <c r="H62" s="5">
        <v>0.8306</v>
      </c>
      <c r="I62" s="4">
        <f t="shared" si="0"/>
        <v>0.69217323101603356</v>
      </c>
      <c r="J62" s="3">
        <f t="shared" si="1"/>
        <v>0.30782676898396644</v>
      </c>
      <c r="K62" s="2">
        <f t="shared" si="2"/>
        <v>0.72198568303021671</v>
      </c>
      <c r="L62" s="1">
        <f t="shared" si="3"/>
        <v>0.27801431696978324</v>
      </c>
    </row>
    <row r="63" spans="2:12" ht="15" thickBot="1" x14ac:dyDescent="0.35">
      <c r="B63" t="s">
        <v>1</v>
      </c>
      <c r="C63" t="s">
        <v>155</v>
      </c>
      <c r="D63" s="7">
        <v>176</v>
      </c>
      <c r="E63" s="6">
        <v>200</v>
      </c>
      <c r="F63" s="5">
        <v>0.77900000000000003</v>
      </c>
      <c r="G63" s="6">
        <v>150</v>
      </c>
      <c r="H63" s="5">
        <v>0.8306</v>
      </c>
      <c r="I63" s="4">
        <f t="shared" si="0"/>
        <v>0.69217323101603356</v>
      </c>
      <c r="J63" s="3">
        <f t="shared" si="1"/>
        <v>0.30782676898396644</v>
      </c>
      <c r="K63" s="2">
        <f t="shared" si="2"/>
        <v>0.72198568303021671</v>
      </c>
      <c r="L63" s="1">
        <f t="shared" si="3"/>
        <v>0.27801431696978324</v>
      </c>
    </row>
    <row r="64" spans="2:12" ht="15" thickBot="1" x14ac:dyDescent="0.35">
      <c r="B64" t="s">
        <v>1</v>
      </c>
      <c r="C64" t="s">
        <v>154</v>
      </c>
      <c r="D64" s="7">
        <v>176</v>
      </c>
      <c r="E64" s="6">
        <v>200</v>
      </c>
      <c r="F64" s="5">
        <v>0.77900000000000003</v>
      </c>
      <c r="G64" s="6">
        <v>150</v>
      </c>
      <c r="H64" s="5">
        <v>0.8306</v>
      </c>
      <c r="I64" s="4">
        <f t="shared" si="0"/>
        <v>0.69217323101603356</v>
      </c>
      <c r="J64" s="3">
        <f t="shared" si="1"/>
        <v>0.30782676898396644</v>
      </c>
      <c r="K64" s="2">
        <f t="shared" si="2"/>
        <v>0.72198568303021671</v>
      </c>
      <c r="L64" s="1">
        <f t="shared" si="3"/>
        <v>0.27801431696978324</v>
      </c>
    </row>
    <row r="65" spans="2:12" ht="15" thickBot="1" x14ac:dyDescent="0.35">
      <c r="B65" t="s">
        <v>1</v>
      </c>
      <c r="C65" t="s">
        <v>153</v>
      </c>
      <c r="D65" s="7">
        <v>176</v>
      </c>
      <c r="E65" s="6">
        <v>200</v>
      </c>
      <c r="F65" s="5">
        <v>0.77900000000000003</v>
      </c>
      <c r="G65" s="6">
        <v>150</v>
      </c>
      <c r="H65" s="5">
        <v>0.8306</v>
      </c>
      <c r="I65" s="4">
        <f t="shared" si="0"/>
        <v>0.69217323101603356</v>
      </c>
      <c r="J65" s="3">
        <f t="shared" si="1"/>
        <v>0.30782676898396644</v>
      </c>
      <c r="K65" s="2">
        <f t="shared" si="2"/>
        <v>0.72198568303021671</v>
      </c>
      <c r="L65" s="1">
        <f t="shared" si="3"/>
        <v>0.27801431696978324</v>
      </c>
    </row>
    <row r="66" spans="2:12" ht="15" thickBot="1" x14ac:dyDescent="0.35">
      <c r="B66" t="s">
        <v>1</v>
      </c>
      <c r="C66" t="s">
        <v>152</v>
      </c>
      <c r="D66" s="7">
        <v>176</v>
      </c>
      <c r="E66" s="6">
        <v>200</v>
      </c>
      <c r="F66" s="5">
        <v>0.77900000000000003</v>
      </c>
      <c r="G66" s="6">
        <v>150</v>
      </c>
      <c r="H66" s="5">
        <v>0.8306</v>
      </c>
      <c r="I66" s="4">
        <f t="shared" si="0"/>
        <v>0.69217323101603356</v>
      </c>
      <c r="J66" s="3">
        <f t="shared" si="1"/>
        <v>0.30782676898396644</v>
      </c>
      <c r="K66" s="2">
        <f t="shared" si="2"/>
        <v>0.72198568303021671</v>
      </c>
      <c r="L66" s="1">
        <f t="shared" si="3"/>
        <v>0.27801431696978324</v>
      </c>
    </row>
    <row r="67" spans="2:12" ht="15" thickBot="1" x14ac:dyDescent="0.35">
      <c r="B67" t="s">
        <v>1</v>
      </c>
      <c r="C67" t="s">
        <v>151</v>
      </c>
      <c r="D67" s="7">
        <v>176</v>
      </c>
      <c r="E67" s="6">
        <v>200</v>
      </c>
      <c r="F67" s="5">
        <v>0.77900000000000003</v>
      </c>
      <c r="G67" s="6">
        <v>150</v>
      </c>
      <c r="H67" s="5">
        <v>0.8306</v>
      </c>
      <c r="I67" s="4">
        <f t="shared" si="0"/>
        <v>0.69217323101603356</v>
      </c>
      <c r="J67" s="3">
        <f t="shared" si="1"/>
        <v>0.30782676898396644</v>
      </c>
      <c r="K67" s="2">
        <f t="shared" si="2"/>
        <v>0.72198568303021671</v>
      </c>
      <c r="L67" s="1">
        <f t="shared" si="3"/>
        <v>0.27801431696978324</v>
      </c>
    </row>
    <row r="68" spans="2:12" ht="15" thickBot="1" x14ac:dyDescent="0.35">
      <c r="B68" t="s">
        <v>1</v>
      </c>
      <c r="C68" t="s">
        <v>150</v>
      </c>
      <c r="D68" s="7">
        <v>176</v>
      </c>
      <c r="E68" s="6">
        <v>200</v>
      </c>
      <c r="F68" s="5">
        <v>0.77900000000000003</v>
      </c>
      <c r="G68" s="6">
        <v>150</v>
      </c>
      <c r="H68" s="5">
        <v>0.8306</v>
      </c>
      <c r="I68" s="4">
        <f t="shared" si="0"/>
        <v>0.69217323101603356</v>
      </c>
      <c r="J68" s="3">
        <f t="shared" si="1"/>
        <v>0.30782676898396644</v>
      </c>
      <c r="K68" s="2">
        <f t="shared" si="2"/>
        <v>0.72198568303021671</v>
      </c>
      <c r="L68" s="1">
        <f t="shared" si="3"/>
        <v>0.27801431696978324</v>
      </c>
    </row>
    <row r="69" spans="2:12" ht="15" thickBot="1" x14ac:dyDescent="0.35">
      <c r="B69" t="s">
        <v>1</v>
      </c>
      <c r="C69" t="s">
        <v>149</v>
      </c>
      <c r="D69" s="7">
        <v>176</v>
      </c>
      <c r="E69" s="6">
        <v>200</v>
      </c>
      <c r="F69" s="5">
        <v>0.77900000000000003</v>
      </c>
      <c r="G69" s="6">
        <v>150</v>
      </c>
      <c r="H69" s="5">
        <v>0.8306</v>
      </c>
      <c r="I69" s="4">
        <f t="shared" si="0"/>
        <v>0.69217323101603356</v>
      </c>
      <c r="J69" s="3">
        <f t="shared" si="1"/>
        <v>0.30782676898396644</v>
      </c>
      <c r="K69" s="2">
        <f t="shared" si="2"/>
        <v>0.72198568303021671</v>
      </c>
      <c r="L69" s="1">
        <f t="shared" si="3"/>
        <v>0.27801431696978324</v>
      </c>
    </row>
    <row r="70" spans="2:12" ht="15" thickBot="1" x14ac:dyDescent="0.35">
      <c r="B70" t="s">
        <v>1</v>
      </c>
      <c r="C70" t="s">
        <v>148</v>
      </c>
      <c r="D70" s="7">
        <v>176</v>
      </c>
      <c r="E70" s="6">
        <v>200</v>
      </c>
      <c r="F70" s="5">
        <v>0.77900000000000003</v>
      </c>
      <c r="G70" s="6">
        <v>150</v>
      </c>
      <c r="H70" s="5">
        <v>0.8306</v>
      </c>
      <c r="I70" s="4">
        <f t="shared" si="0"/>
        <v>0.69217323101603356</v>
      </c>
      <c r="J70" s="3">
        <f t="shared" si="1"/>
        <v>0.30782676898396644</v>
      </c>
      <c r="K70" s="2">
        <f t="shared" si="2"/>
        <v>0.72198568303021671</v>
      </c>
      <c r="L70" s="1">
        <f t="shared" si="3"/>
        <v>0.27801431696978324</v>
      </c>
    </row>
    <row r="71" spans="2:12" ht="15" thickBot="1" x14ac:dyDescent="0.35">
      <c r="B71" t="s">
        <v>1</v>
      </c>
      <c r="C71" t="s">
        <v>147</v>
      </c>
      <c r="D71" s="7">
        <v>176</v>
      </c>
      <c r="E71" s="6">
        <v>200</v>
      </c>
      <c r="F71" s="5">
        <v>0.77900000000000003</v>
      </c>
      <c r="G71" s="6">
        <v>150</v>
      </c>
      <c r="H71" s="5">
        <v>0.8306</v>
      </c>
      <c r="I71" s="4">
        <f t="shared" si="0"/>
        <v>0.69217323101603356</v>
      </c>
      <c r="J71" s="3">
        <f t="shared" si="1"/>
        <v>0.30782676898396644</v>
      </c>
      <c r="K71" s="2">
        <f t="shared" si="2"/>
        <v>0.72198568303021671</v>
      </c>
      <c r="L71" s="1">
        <f t="shared" si="3"/>
        <v>0.27801431696978324</v>
      </c>
    </row>
    <row r="72" spans="2:12" ht="15" thickBot="1" x14ac:dyDescent="0.35">
      <c r="B72" t="s">
        <v>1</v>
      </c>
      <c r="C72" t="s">
        <v>146</v>
      </c>
      <c r="D72" s="7">
        <v>176</v>
      </c>
      <c r="E72" s="6">
        <v>200</v>
      </c>
      <c r="F72" s="5">
        <v>0.77900000000000003</v>
      </c>
      <c r="G72" s="6">
        <v>150</v>
      </c>
      <c r="H72" s="5">
        <v>0.8306</v>
      </c>
      <c r="I72" s="4">
        <f t="shared" si="0"/>
        <v>0.69217323101603356</v>
      </c>
      <c r="J72" s="3">
        <f t="shared" si="1"/>
        <v>0.30782676898396644</v>
      </c>
      <c r="K72" s="2">
        <f t="shared" si="2"/>
        <v>0.72198568303021671</v>
      </c>
      <c r="L72" s="1">
        <f t="shared" si="3"/>
        <v>0.27801431696978324</v>
      </c>
    </row>
    <row r="73" spans="2:12" ht="15" thickBot="1" x14ac:dyDescent="0.35">
      <c r="B73" t="s">
        <v>1</v>
      </c>
      <c r="C73" t="s">
        <v>145</v>
      </c>
      <c r="D73" s="7">
        <v>176</v>
      </c>
      <c r="E73" s="6">
        <v>200</v>
      </c>
      <c r="F73" s="5">
        <v>0.77900000000000003</v>
      </c>
      <c r="G73" s="6">
        <v>150</v>
      </c>
      <c r="H73" s="5">
        <v>0.8306</v>
      </c>
      <c r="I73" s="4">
        <f t="shared" si="0"/>
        <v>0.69217323101603356</v>
      </c>
      <c r="J73" s="3">
        <f t="shared" si="1"/>
        <v>0.30782676898396644</v>
      </c>
      <c r="K73" s="2">
        <f t="shared" si="2"/>
        <v>0.72198568303021671</v>
      </c>
      <c r="L73" s="1">
        <f t="shared" si="3"/>
        <v>0.27801431696978324</v>
      </c>
    </row>
    <row r="74" spans="2:12" ht="15" thickBot="1" x14ac:dyDescent="0.35">
      <c r="B74" t="s">
        <v>1</v>
      </c>
      <c r="C74" t="s">
        <v>144</v>
      </c>
      <c r="D74" s="7">
        <v>176</v>
      </c>
      <c r="E74" s="6">
        <v>200</v>
      </c>
      <c r="F74" s="5">
        <v>0.77900000000000003</v>
      </c>
      <c r="G74" s="6">
        <v>150</v>
      </c>
      <c r="H74" s="5">
        <v>0.8306</v>
      </c>
      <c r="I74" s="4">
        <f t="shared" si="0"/>
        <v>0.69217323101603356</v>
      </c>
      <c r="J74" s="3">
        <f t="shared" si="1"/>
        <v>0.30782676898396644</v>
      </c>
      <c r="K74" s="2">
        <f t="shared" si="2"/>
        <v>0.72198568303021671</v>
      </c>
      <c r="L74" s="1">
        <f t="shared" si="3"/>
        <v>0.27801431696978324</v>
      </c>
    </row>
    <row r="75" spans="2:12" ht="15" thickBot="1" x14ac:dyDescent="0.35">
      <c r="B75" t="s">
        <v>1</v>
      </c>
      <c r="C75" t="s">
        <v>143</v>
      </c>
      <c r="D75" s="7">
        <v>176</v>
      </c>
      <c r="E75" s="6">
        <v>200</v>
      </c>
      <c r="F75" s="5">
        <v>0.77900000000000003</v>
      </c>
      <c r="G75" s="6">
        <v>150</v>
      </c>
      <c r="H75" s="5">
        <v>0.8306</v>
      </c>
      <c r="I75" s="4">
        <f t="shared" si="0"/>
        <v>0.69217323101603356</v>
      </c>
      <c r="J75" s="3">
        <f t="shared" si="1"/>
        <v>0.30782676898396644</v>
      </c>
      <c r="K75" s="2">
        <f t="shared" si="2"/>
        <v>0.72198568303021671</v>
      </c>
      <c r="L75" s="1">
        <f t="shared" si="3"/>
        <v>0.27801431696978324</v>
      </c>
    </row>
    <row r="76" spans="2:12" ht="15" thickBot="1" x14ac:dyDescent="0.35">
      <c r="B76" t="s">
        <v>1</v>
      </c>
      <c r="C76" t="s">
        <v>142</v>
      </c>
      <c r="D76" s="7">
        <v>176</v>
      </c>
      <c r="E76" s="6">
        <v>200</v>
      </c>
      <c r="F76" s="5">
        <v>0.77900000000000003</v>
      </c>
      <c r="G76" s="6">
        <v>150</v>
      </c>
      <c r="H76" s="5">
        <v>0.8306</v>
      </c>
      <c r="I76" s="4">
        <f t="shared" si="0"/>
        <v>0.69217323101603356</v>
      </c>
      <c r="J76" s="3">
        <f t="shared" si="1"/>
        <v>0.30782676898396644</v>
      </c>
      <c r="K76" s="2">
        <f t="shared" si="2"/>
        <v>0.72198568303021671</v>
      </c>
      <c r="L76" s="1">
        <f t="shared" si="3"/>
        <v>0.27801431696978324</v>
      </c>
    </row>
    <row r="77" spans="2:12" ht="15" thickBot="1" x14ac:dyDescent="0.35">
      <c r="B77" t="s">
        <v>1</v>
      </c>
      <c r="C77" t="s">
        <v>141</v>
      </c>
      <c r="D77" s="7">
        <v>176</v>
      </c>
      <c r="E77" s="6">
        <v>200</v>
      </c>
      <c r="F77" s="5">
        <v>0.77900000000000003</v>
      </c>
      <c r="G77" s="6">
        <v>150</v>
      </c>
      <c r="H77" s="5">
        <v>0.8306</v>
      </c>
      <c r="I77" s="4">
        <f t="shared" si="0"/>
        <v>0.69217323101603356</v>
      </c>
      <c r="J77" s="3">
        <f t="shared" si="1"/>
        <v>0.30782676898396644</v>
      </c>
      <c r="K77" s="2">
        <f t="shared" si="2"/>
        <v>0.72198568303021671</v>
      </c>
      <c r="L77" s="1">
        <f t="shared" si="3"/>
        <v>0.27801431696978324</v>
      </c>
    </row>
    <row r="78" spans="2:12" ht="15" thickBot="1" x14ac:dyDescent="0.35">
      <c r="B78" t="s">
        <v>1</v>
      </c>
      <c r="C78" t="s">
        <v>140</v>
      </c>
      <c r="D78" s="7">
        <v>176</v>
      </c>
      <c r="E78" s="6">
        <v>200</v>
      </c>
      <c r="F78" s="5">
        <v>0.77900000000000003</v>
      </c>
      <c r="G78" s="6">
        <v>150</v>
      </c>
      <c r="H78" s="5">
        <v>0.8306</v>
      </c>
      <c r="I78" s="4">
        <f t="shared" si="0"/>
        <v>0.69217323101603356</v>
      </c>
      <c r="J78" s="3">
        <f t="shared" si="1"/>
        <v>0.30782676898396644</v>
      </c>
      <c r="K78" s="2">
        <f t="shared" si="2"/>
        <v>0.72198568303021671</v>
      </c>
      <c r="L78" s="1">
        <f t="shared" si="3"/>
        <v>0.27801431696978324</v>
      </c>
    </row>
    <row r="79" spans="2:12" ht="15" thickBot="1" x14ac:dyDescent="0.35">
      <c r="B79" t="s">
        <v>1</v>
      </c>
      <c r="C79" t="s">
        <v>139</v>
      </c>
      <c r="D79" s="7">
        <v>176</v>
      </c>
      <c r="E79" s="6">
        <v>200</v>
      </c>
      <c r="F79" s="5">
        <v>0.77900000000000003</v>
      </c>
      <c r="G79" s="6">
        <v>150</v>
      </c>
      <c r="H79" s="5">
        <v>0.8306</v>
      </c>
      <c r="I79" s="4">
        <f t="shared" si="0"/>
        <v>0.69217323101603356</v>
      </c>
      <c r="J79" s="3">
        <f t="shared" si="1"/>
        <v>0.30782676898396644</v>
      </c>
      <c r="K79" s="2">
        <f t="shared" si="2"/>
        <v>0.72198568303021671</v>
      </c>
      <c r="L79" s="1">
        <f t="shared" si="3"/>
        <v>0.27801431696978324</v>
      </c>
    </row>
    <row r="80" spans="2:12" ht="15" thickBot="1" x14ac:dyDescent="0.35">
      <c r="B80" t="s">
        <v>1</v>
      </c>
      <c r="C80" t="s">
        <v>138</v>
      </c>
      <c r="D80" s="7">
        <v>176</v>
      </c>
      <c r="E80" s="6">
        <v>200</v>
      </c>
      <c r="F80" s="5">
        <v>0.77900000000000003</v>
      </c>
      <c r="G80" s="6">
        <v>150</v>
      </c>
      <c r="H80" s="5">
        <v>0.8306</v>
      </c>
      <c r="I80" s="4">
        <f t="shared" si="0"/>
        <v>0.69217323101603356</v>
      </c>
      <c r="J80" s="3">
        <f t="shared" si="1"/>
        <v>0.30782676898396644</v>
      </c>
      <c r="K80" s="2">
        <f t="shared" si="2"/>
        <v>0.72198568303021671</v>
      </c>
      <c r="L80" s="1">
        <f t="shared" si="3"/>
        <v>0.27801431696978324</v>
      </c>
    </row>
    <row r="81" spans="2:12" ht="15" thickBot="1" x14ac:dyDescent="0.35">
      <c r="B81" t="s">
        <v>1</v>
      </c>
      <c r="C81" t="s">
        <v>137</v>
      </c>
      <c r="D81" s="7">
        <v>176</v>
      </c>
      <c r="E81" s="6">
        <v>200</v>
      </c>
      <c r="F81" s="5">
        <v>0.77900000000000003</v>
      </c>
      <c r="G81" s="6">
        <v>150</v>
      </c>
      <c r="H81" s="5">
        <v>0.8306</v>
      </c>
      <c r="I81" s="4">
        <f t="shared" si="0"/>
        <v>0.69217323101603356</v>
      </c>
      <c r="J81" s="3">
        <f t="shared" si="1"/>
        <v>0.30782676898396644</v>
      </c>
      <c r="K81" s="2">
        <f t="shared" si="2"/>
        <v>0.72198568303021671</v>
      </c>
      <c r="L81" s="1">
        <f t="shared" si="3"/>
        <v>0.27801431696978324</v>
      </c>
    </row>
    <row r="82" spans="2:12" ht="15" thickBot="1" x14ac:dyDescent="0.35">
      <c r="B82" t="s">
        <v>1</v>
      </c>
      <c r="C82" t="s">
        <v>136</v>
      </c>
      <c r="D82" s="7">
        <v>176</v>
      </c>
      <c r="E82" s="6">
        <v>200</v>
      </c>
      <c r="F82" s="5">
        <v>0.77900000000000003</v>
      </c>
      <c r="G82" s="6">
        <v>150</v>
      </c>
      <c r="H82" s="5">
        <v>0.8306</v>
      </c>
      <c r="I82" s="4">
        <f t="shared" si="0"/>
        <v>0.69217323101603356</v>
      </c>
      <c r="J82" s="3">
        <f t="shared" si="1"/>
        <v>0.30782676898396644</v>
      </c>
      <c r="K82" s="2">
        <f t="shared" si="2"/>
        <v>0.72198568303021671</v>
      </c>
      <c r="L82" s="1">
        <f t="shared" si="3"/>
        <v>0.27801431696978324</v>
      </c>
    </row>
    <row r="83" spans="2:12" ht="15" thickBot="1" x14ac:dyDescent="0.35">
      <c r="B83" t="s">
        <v>1</v>
      </c>
      <c r="C83" t="s">
        <v>135</v>
      </c>
      <c r="D83" s="7">
        <v>176</v>
      </c>
      <c r="E83" s="6">
        <v>200</v>
      </c>
      <c r="F83" s="5">
        <v>0.77900000000000003</v>
      </c>
      <c r="G83" s="6">
        <v>150</v>
      </c>
      <c r="H83" s="5">
        <v>0.8306</v>
      </c>
      <c r="I83" s="4">
        <f t="shared" si="0"/>
        <v>0.69217323101603356</v>
      </c>
      <c r="J83" s="3">
        <f t="shared" si="1"/>
        <v>0.30782676898396644</v>
      </c>
      <c r="K83" s="2">
        <f t="shared" si="2"/>
        <v>0.72198568303021671</v>
      </c>
      <c r="L83" s="1">
        <f t="shared" si="3"/>
        <v>0.27801431696978324</v>
      </c>
    </row>
    <row r="84" spans="2:12" ht="15" thickBot="1" x14ac:dyDescent="0.35">
      <c r="B84" t="s">
        <v>1</v>
      </c>
      <c r="C84" t="s">
        <v>134</v>
      </c>
      <c r="D84" s="7">
        <v>176</v>
      </c>
      <c r="E84" s="6">
        <v>200</v>
      </c>
      <c r="F84" s="5">
        <v>0.77900000000000003</v>
      </c>
      <c r="G84" s="6">
        <v>150</v>
      </c>
      <c r="H84" s="5">
        <v>0.8306</v>
      </c>
      <c r="I84" s="4">
        <f t="shared" si="0"/>
        <v>0.69217323101603356</v>
      </c>
      <c r="J84" s="3">
        <f t="shared" si="1"/>
        <v>0.30782676898396644</v>
      </c>
      <c r="K84" s="2">
        <f t="shared" si="2"/>
        <v>0.72198568303021671</v>
      </c>
      <c r="L84" s="1">
        <f t="shared" si="3"/>
        <v>0.27801431696978324</v>
      </c>
    </row>
    <row r="85" spans="2:12" ht="15" thickBot="1" x14ac:dyDescent="0.35">
      <c r="B85" t="s">
        <v>1</v>
      </c>
      <c r="C85" t="s">
        <v>133</v>
      </c>
      <c r="D85" s="7">
        <v>176</v>
      </c>
      <c r="E85" s="6">
        <v>200</v>
      </c>
      <c r="F85" s="5">
        <v>0.77900000000000003</v>
      </c>
      <c r="G85" s="6">
        <v>150</v>
      </c>
      <c r="H85" s="5">
        <v>0.8306</v>
      </c>
      <c r="I85" s="4">
        <f t="shared" ref="I85:I148" si="4">NORMSDIST(LN(E85/D85)/(F85*SQRT($H$2/365)))</f>
        <v>0.69217323101603356</v>
      </c>
      <c r="J85" s="3">
        <f t="shared" ref="J85:J148" si="5">1-NORMSDIST(LN(E85/D85)/(F85*SQRT($H$2/365)))</f>
        <v>0.30782676898396644</v>
      </c>
      <c r="K85" s="2">
        <f t="shared" ref="K85:K148" si="6">1-NORMSDIST(LN(G85/D85)/(H85*SQRT($H$2/365)))</f>
        <v>0.72198568303021671</v>
      </c>
      <c r="L85" s="1">
        <f t="shared" ref="L85:L148" si="7">NORMSDIST(LN(G85/D85)/(H85*SQRT($H$2/365)))</f>
        <v>0.27801431696978324</v>
      </c>
    </row>
    <row r="86" spans="2:12" ht="15" thickBot="1" x14ac:dyDescent="0.35">
      <c r="B86" t="s">
        <v>1</v>
      </c>
      <c r="C86" t="s">
        <v>132</v>
      </c>
      <c r="D86" s="7">
        <v>176</v>
      </c>
      <c r="E86" s="6">
        <v>200</v>
      </c>
      <c r="F86" s="5">
        <v>0.77900000000000003</v>
      </c>
      <c r="G86" s="6">
        <v>150</v>
      </c>
      <c r="H86" s="5">
        <v>0.8306</v>
      </c>
      <c r="I86" s="4">
        <f t="shared" si="4"/>
        <v>0.69217323101603356</v>
      </c>
      <c r="J86" s="3">
        <f t="shared" si="5"/>
        <v>0.30782676898396644</v>
      </c>
      <c r="K86" s="2">
        <f t="shared" si="6"/>
        <v>0.72198568303021671</v>
      </c>
      <c r="L86" s="1">
        <f t="shared" si="7"/>
        <v>0.27801431696978324</v>
      </c>
    </row>
    <row r="87" spans="2:12" ht="15" thickBot="1" x14ac:dyDescent="0.35">
      <c r="B87" t="s">
        <v>1</v>
      </c>
      <c r="C87" t="s">
        <v>131</v>
      </c>
      <c r="D87" s="7">
        <v>176</v>
      </c>
      <c r="E87" s="6">
        <v>200</v>
      </c>
      <c r="F87" s="5">
        <v>0.77900000000000003</v>
      </c>
      <c r="G87" s="6">
        <v>150</v>
      </c>
      <c r="H87" s="5">
        <v>0.8306</v>
      </c>
      <c r="I87" s="4">
        <f t="shared" si="4"/>
        <v>0.69217323101603356</v>
      </c>
      <c r="J87" s="3">
        <f t="shared" si="5"/>
        <v>0.30782676898396644</v>
      </c>
      <c r="K87" s="2">
        <f t="shared" si="6"/>
        <v>0.72198568303021671</v>
      </c>
      <c r="L87" s="1">
        <f t="shared" si="7"/>
        <v>0.27801431696978324</v>
      </c>
    </row>
    <row r="88" spans="2:12" ht="15" thickBot="1" x14ac:dyDescent="0.35">
      <c r="B88" t="s">
        <v>1</v>
      </c>
      <c r="C88" t="s">
        <v>130</v>
      </c>
      <c r="D88" s="7">
        <v>176</v>
      </c>
      <c r="E88" s="6">
        <v>200</v>
      </c>
      <c r="F88" s="5">
        <v>0.77900000000000003</v>
      </c>
      <c r="G88" s="6">
        <v>150</v>
      </c>
      <c r="H88" s="5">
        <v>0.8306</v>
      </c>
      <c r="I88" s="4">
        <f t="shared" si="4"/>
        <v>0.69217323101603356</v>
      </c>
      <c r="J88" s="3">
        <f t="shared" si="5"/>
        <v>0.30782676898396644</v>
      </c>
      <c r="K88" s="2">
        <f t="shared" si="6"/>
        <v>0.72198568303021671</v>
      </c>
      <c r="L88" s="1">
        <f t="shared" si="7"/>
        <v>0.27801431696978324</v>
      </c>
    </row>
    <row r="89" spans="2:12" ht="15" thickBot="1" x14ac:dyDescent="0.35">
      <c r="B89" t="s">
        <v>1</v>
      </c>
      <c r="C89" t="s">
        <v>129</v>
      </c>
      <c r="D89" s="7">
        <v>176</v>
      </c>
      <c r="E89" s="6">
        <v>200</v>
      </c>
      <c r="F89" s="5">
        <v>0.77900000000000003</v>
      </c>
      <c r="G89" s="6">
        <v>150</v>
      </c>
      <c r="H89" s="5">
        <v>0.8306</v>
      </c>
      <c r="I89" s="4">
        <f t="shared" si="4"/>
        <v>0.69217323101603356</v>
      </c>
      <c r="J89" s="3">
        <f t="shared" si="5"/>
        <v>0.30782676898396644</v>
      </c>
      <c r="K89" s="2">
        <f t="shared" si="6"/>
        <v>0.72198568303021671</v>
      </c>
      <c r="L89" s="1">
        <f t="shared" si="7"/>
        <v>0.27801431696978324</v>
      </c>
    </row>
    <row r="90" spans="2:12" ht="15" thickBot="1" x14ac:dyDescent="0.35">
      <c r="B90" t="s">
        <v>1</v>
      </c>
      <c r="C90" t="s">
        <v>128</v>
      </c>
      <c r="D90" s="7">
        <v>176</v>
      </c>
      <c r="E90" s="6">
        <v>200</v>
      </c>
      <c r="F90" s="5">
        <v>0.77900000000000003</v>
      </c>
      <c r="G90" s="6">
        <v>150</v>
      </c>
      <c r="H90" s="5">
        <v>0.8306</v>
      </c>
      <c r="I90" s="4">
        <f t="shared" si="4"/>
        <v>0.69217323101603356</v>
      </c>
      <c r="J90" s="3">
        <f t="shared" si="5"/>
        <v>0.30782676898396644</v>
      </c>
      <c r="K90" s="2">
        <f t="shared" si="6"/>
        <v>0.72198568303021671</v>
      </c>
      <c r="L90" s="1">
        <f t="shared" si="7"/>
        <v>0.27801431696978324</v>
      </c>
    </row>
    <row r="91" spans="2:12" ht="15" thickBot="1" x14ac:dyDescent="0.35">
      <c r="B91" t="s">
        <v>1</v>
      </c>
      <c r="C91" t="s">
        <v>127</v>
      </c>
      <c r="D91" s="7">
        <v>176</v>
      </c>
      <c r="E91" s="6">
        <v>200</v>
      </c>
      <c r="F91" s="5">
        <v>0.77900000000000003</v>
      </c>
      <c r="G91" s="6">
        <v>150</v>
      </c>
      <c r="H91" s="5">
        <v>0.8306</v>
      </c>
      <c r="I91" s="4">
        <f t="shared" si="4"/>
        <v>0.69217323101603356</v>
      </c>
      <c r="J91" s="3">
        <f t="shared" si="5"/>
        <v>0.30782676898396644</v>
      </c>
      <c r="K91" s="2">
        <f t="shared" si="6"/>
        <v>0.72198568303021671</v>
      </c>
      <c r="L91" s="1">
        <f t="shared" si="7"/>
        <v>0.27801431696978324</v>
      </c>
    </row>
    <row r="92" spans="2:12" ht="15" thickBot="1" x14ac:dyDescent="0.35">
      <c r="B92" t="s">
        <v>1</v>
      </c>
      <c r="C92" t="s">
        <v>126</v>
      </c>
      <c r="D92" s="7">
        <v>176</v>
      </c>
      <c r="E92" s="6">
        <v>200</v>
      </c>
      <c r="F92" s="5">
        <v>0.77900000000000003</v>
      </c>
      <c r="G92" s="6">
        <v>150</v>
      </c>
      <c r="H92" s="5">
        <v>0.8306</v>
      </c>
      <c r="I92" s="4">
        <f t="shared" si="4"/>
        <v>0.69217323101603356</v>
      </c>
      <c r="J92" s="3">
        <f t="shared" si="5"/>
        <v>0.30782676898396644</v>
      </c>
      <c r="K92" s="2">
        <f t="shared" si="6"/>
        <v>0.72198568303021671</v>
      </c>
      <c r="L92" s="1">
        <f t="shared" si="7"/>
        <v>0.27801431696978324</v>
      </c>
    </row>
    <row r="93" spans="2:12" ht="15" thickBot="1" x14ac:dyDescent="0.35">
      <c r="B93" t="s">
        <v>1</v>
      </c>
      <c r="C93" t="s">
        <v>125</v>
      </c>
      <c r="D93" s="7">
        <v>176</v>
      </c>
      <c r="E93" s="6">
        <v>200</v>
      </c>
      <c r="F93" s="5">
        <v>0.77900000000000003</v>
      </c>
      <c r="G93" s="6">
        <v>150</v>
      </c>
      <c r="H93" s="5">
        <v>0.8306</v>
      </c>
      <c r="I93" s="4">
        <f t="shared" si="4"/>
        <v>0.69217323101603356</v>
      </c>
      <c r="J93" s="3">
        <f t="shared" si="5"/>
        <v>0.30782676898396644</v>
      </c>
      <c r="K93" s="2">
        <f t="shared" si="6"/>
        <v>0.72198568303021671</v>
      </c>
      <c r="L93" s="1">
        <f t="shared" si="7"/>
        <v>0.27801431696978324</v>
      </c>
    </row>
    <row r="94" spans="2:12" ht="15" thickBot="1" x14ac:dyDescent="0.35">
      <c r="B94" t="s">
        <v>1</v>
      </c>
      <c r="C94" t="s">
        <v>124</v>
      </c>
      <c r="D94" s="7">
        <v>176</v>
      </c>
      <c r="E94" s="6">
        <v>200</v>
      </c>
      <c r="F94" s="5">
        <v>0.77900000000000003</v>
      </c>
      <c r="G94" s="6">
        <v>150</v>
      </c>
      <c r="H94" s="5">
        <v>0.8306</v>
      </c>
      <c r="I94" s="4">
        <f t="shared" si="4"/>
        <v>0.69217323101603356</v>
      </c>
      <c r="J94" s="3">
        <f t="shared" si="5"/>
        <v>0.30782676898396644</v>
      </c>
      <c r="K94" s="2">
        <f t="shared" si="6"/>
        <v>0.72198568303021671</v>
      </c>
      <c r="L94" s="1">
        <f t="shared" si="7"/>
        <v>0.27801431696978324</v>
      </c>
    </row>
    <row r="95" spans="2:12" ht="15" thickBot="1" x14ac:dyDescent="0.35">
      <c r="B95" t="s">
        <v>1</v>
      </c>
      <c r="C95" t="s">
        <v>123</v>
      </c>
      <c r="D95" s="7">
        <v>176</v>
      </c>
      <c r="E95" s="6">
        <v>200</v>
      </c>
      <c r="F95" s="5">
        <v>0.77900000000000003</v>
      </c>
      <c r="G95" s="6">
        <v>150</v>
      </c>
      <c r="H95" s="5">
        <v>0.8306</v>
      </c>
      <c r="I95" s="4">
        <f t="shared" si="4"/>
        <v>0.69217323101603356</v>
      </c>
      <c r="J95" s="3">
        <f t="shared" si="5"/>
        <v>0.30782676898396644</v>
      </c>
      <c r="K95" s="2">
        <f t="shared" si="6"/>
        <v>0.72198568303021671</v>
      </c>
      <c r="L95" s="1">
        <f t="shared" si="7"/>
        <v>0.27801431696978324</v>
      </c>
    </row>
    <row r="96" spans="2:12" ht="15" thickBot="1" x14ac:dyDescent="0.35">
      <c r="B96" t="s">
        <v>1</v>
      </c>
      <c r="C96" t="s">
        <v>122</v>
      </c>
      <c r="D96" s="7">
        <v>176</v>
      </c>
      <c r="E96" s="6">
        <v>200</v>
      </c>
      <c r="F96" s="5">
        <v>0.77900000000000003</v>
      </c>
      <c r="G96" s="6">
        <v>150</v>
      </c>
      <c r="H96" s="5">
        <v>0.8306</v>
      </c>
      <c r="I96" s="4">
        <f t="shared" si="4"/>
        <v>0.69217323101603356</v>
      </c>
      <c r="J96" s="3">
        <f t="shared" si="5"/>
        <v>0.30782676898396644</v>
      </c>
      <c r="K96" s="2">
        <f t="shared" si="6"/>
        <v>0.72198568303021671</v>
      </c>
      <c r="L96" s="1">
        <f t="shared" si="7"/>
        <v>0.27801431696978324</v>
      </c>
    </row>
    <row r="97" spans="2:12" ht="15" thickBot="1" x14ac:dyDescent="0.35">
      <c r="B97" t="s">
        <v>1</v>
      </c>
      <c r="C97" t="s">
        <v>121</v>
      </c>
      <c r="D97" s="7">
        <v>176</v>
      </c>
      <c r="E97" s="6">
        <v>200</v>
      </c>
      <c r="F97" s="5">
        <v>0.77900000000000003</v>
      </c>
      <c r="G97" s="6">
        <v>150</v>
      </c>
      <c r="H97" s="5">
        <v>0.8306</v>
      </c>
      <c r="I97" s="4">
        <f t="shared" si="4"/>
        <v>0.69217323101603356</v>
      </c>
      <c r="J97" s="3">
        <f t="shared" si="5"/>
        <v>0.30782676898396644</v>
      </c>
      <c r="K97" s="2">
        <f t="shared" si="6"/>
        <v>0.72198568303021671</v>
      </c>
      <c r="L97" s="1">
        <f t="shared" si="7"/>
        <v>0.27801431696978324</v>
      </c>
    </row>
    <row r="98" spans="2:12" ht="15" thickBot="1" x14ac:dyDescent="0.35">
      <c r="B98" t="s">
        <v>1</v>
      </c>
      <c r="C98" t="s">
        <v>120</v>
      </c>
      <c r="D98" s="7">
        <v>176</v>
      </c>
      <c r="E98" s="6">
        <v>200</v>
      </c>
      <c r="F98" s="5">
        <v>0.77900000000000003</v>
      </c>
      <c r="G98" s="6">
        <v>150</v>
      </c>
      <c r="H98" s="5">
        <v>0.8306</v>
      </c>
      <c r="I98" s="4">
        <f t="shared" si="4"/>
        <v>0.69217323101603356</v>
      </c>
      <c r="J98" s="3">
        <f t="shared" si="5"/>
        <v>0.30782676898396644</v>
      </c>
      <c r="K98" s="2">
        <f t="shared" si="6"/>
        <v>0.72198568303021671</v>
      </c>
      <c r="L98" s="1">
        <f t="shared" si="7"/>
        <v>0.27801431696978324</v>
      </c>
    </row>
    <row r="99" spans="2:12" ht="15" thickBot="1" x14ac:dyDescent="0.35">
      <c r="B99" t="s">
        <v>1</v>
      </c>
      <c r="C99" t="s">
        <v>119</v>
      </c>
      <c r="D99" s="7">
        <v>176</v>
      </c>
      <c r="E99" s="6">
        <v>200</v>
      </c>
      <c r="F99" s="5">
        <v>0.77900000000000003</v>
      </c>
      <c r="G99" s="6">
        <v>150</v>
      </c>
      <c r="H99" s="5">
        <v>0.8306</v>
      </c>
      <c r="I99" s="4">
        <f t="shared" si="4"/>
        <v>0.69217323101603356</v>
      </c>
      <c r="J99" s="3">
        <f t="shared" si="5"/>
        <v>0.30782676898396644</v>
      </c>
      <c r="K99" s="2">
        <f t="shared" si="6"/>
        <v>0.72198568303021671</v>
      </c>
      <c r="L99" s="1">
        <f t="shared" si="7"/>
        <v>0.27801431696978324</v>
      </c>
    </row>
    <row r="100" spans="2:12" ht="15" thickBot="1" x14ac:dyDescent="0.35">
      <c r="B100" t="s">
        <v>1</v>
      </c>
      <c r="C100" t="s">
        <v>118</v>
      </c>
      <c r="D100" s="7">
        <v>176</v>
      </c>
      <c r="E100" s="6">
        <v>200</v>
      </c>
      <c r="F100" s="5">
        <v>0.77900000000000003</v>
      </c>
      <c r="G100" s="6">
        <v>150</v>
      </c>
      <c r="H100" s="5">
        <v>0.8306</v>
      </c>
      <c r="I100" s="4">
        <f t="shared" si="4"/>
        <v>0.69217323101603356</v>
      </c>
      <c r="J100" s="3">
        <f t="shared" si="5"/>
        <v>0.30782676898396644</v>
      </c>
      <c r="K100" s="2">
        <f t="shared" si="6"/>
        <v>0.72198568303021671</v>
      </c>
      <c r="L100" s="1">
        <f t="shared" si="7"/>
        <v>0.27801431696978324</v>
      </c>
    </row>
    <row r="101" spans="2:12" ht="15" thickBot="1" x14ac:dyDescent="0.35">
      <c r="B101" t="s">
        <v>1</v>
      </c>
      <c r="C101" t="s">
        <v>117</v>
      </c>
      <c r="D101" s="7">
        <v>176</v>
      </c>
      <c r="E101" s="6">
        <v>200</v>
      </c>
      <c r="F101" s="5">
        <v>0.77900000000000003</v>
      </c>
      <c r="G101" s="6">
        <v>150</v>
      </c>
      <c r="H101" s="5">
        <v>0.8306</v>
      </c>
      <c r="I101" s="4">
        <f t="shared" si="4"/>
        <v>0.69217323101603356</v>
      </c>
      <c r="J101" s="3">
        <f t="shared" si="5"/>
        <v>0.30782676898396644</v>
      </c>
      <c r="K101" s="2">
        <f t="shared" si="6"/>
        <v>0.72198568303021671</v>
      </c>
      <c r="L101" s="1">
        <f t="shared" si="7"/>
        <v>0.27801431696978324</v>
      </c>
    </row>
    <row r="102" spans="2:12" ht="15" thickBot="1" x14ac:dyDescent="0.35">
      <c r="B102" t="s">
        <v>1</v>
      </c>
      <c r="C102" t="s">
        <v>116</v>
      </c>
      <c r="D102" s="7">
        <v>176</v>
      </c>
      <c r="E102" s="6">
        <v>200</v>
      </c>
      <c r="F102" s="5">
        <v>0.77900000000000003</v>
      </c>
      <c r="G102" s="6">
        <v>150</v>
      </c>
      <c r="H102" s="5">
        <v>0.8306</v>
      </c>
      <c r="I102" s="4">
        <f t="shared" si="4"/>
        <v>0.69217323101603356</v>
      </c>
      <c r="J102" s="3">
        <f t="shared" si="5"/>
        <v>0.30782676898396644</v>
      </c>
      <c r="K102" s="2">
        <f t="shared" si="6"/>
        <v>0.72198568303021671</v>
      </c>
      <c r="L102" s="1">
        <f t="shared" si="7"/>
        <v>0.27801431696978324</v>
      </c>
    </row>
    <row r="103" spans="2:12" ht="15" thickBot="1" x14ac:dyDescent="0.35">
      <c r="B103" t="s">
        <v>1</v>
      </c>
      <c r="C103" t="s">
        <v>115</v>
      </c>
      <c r="D103" s="7">
        <v>176</v>
      </c>
      <c r="E103" s="6">
        <v>200</v>
      </c>
      <c r="F103" s="5">
        <v>0.77900000000000003</v>
      </c>
      <c r="G103" s="6">
        <v>150</v>
      </c>
      <c r="H103" s="5">
        <v>0.8306</v>
      </c>
      <c r="I103" s="4">
        <f t="shared" si="4"/>
        <v>0.69217323101603356</v>
      </c>
      <c r="J103" s="3">
        <f t="shared" si="5"/>
        <v>0.30782676898396644</v>
      </c>
      <c r="K103" s="2">
        <f t="shared" si="6"/>
        <v>0.72198568303021671</v>
      </c>
      <c r="L103" s="1">
        <f t="shared" si="7"/>
        <v>0.27801431696978324</v>
      </c>
    </row>
    <row r="104" spans="2:12" ht="15" thickBot="1" x14ac:dyDescent="0.35">
      <c r="B104" t="s">
        <v>1</v>
      </c>
      <c r="C104" t="s">
        <v>114</v>
      </c>
      <c r="D104" s="7">
        <v>176</v>
      </c>
      <c r="E104" s="6">
        <v>200</v>
      </c>
      <c r="F104" s="5">
        <v>0.77900000000000003</v>
      </c>
      <c r="G104" s="6">
        <v>150</v>
      </c>
      <c r="H104" s="5">
        <v>0.8306</v>
      </c>
      <c r="I104" s="4">
        <f t="shared" si="4"/>
        <v>0.69217323101603356</v>
      </c>
      <c r="J104" s="3">
        <f t="shared" si="5"/>
        <v>0.30782676898396644</v>
      </c>
      <c r="K104" s="2">
        <f t="shared" si="6"/>
        <v>0.72198568303021671</v>
      </c>
      <c r="L104" s="1">
        <f t="shared" si="7"/>
        <v>0.27801431696978324</v>
      </c>
    </row>
    <row r="105" spans="2:12" ht="15" thickBot="1" x14ac:dyDescent="0.35">
      <c r="B105" t="s">
        <v>1</v>
      </c>
      <c r="C105" t="s">
        <v>113</v>
      </c>
      <c r="D105" s="7">
        <v>176</v>
      </c>
      <c r="E105" s="6">
        <v>200</v>
      </c>
      <c r="F105" s="5">
        <v>0.77900000000000003</v>
      </c>
      <c r="G105" s="6">
        <v>150</v>
      </c>
      <c r="H105" s="5">
        <v>0.8306</v>
      </c>
      <c r="I105" s="4">
        <f t="shared" si="4"/>
        <v>0.69217323101603356</v>
      </c>
      <c r="J105" s="3">
        <f t="shared" si="5"/>
        <v>0.30782676898396644</v>
      </c>
      <c r="K105" s="2">
        <f t="shared" si="6"/>
        <v>0.72198568303021671</v>
      </c>
      <c r="L105" s="1">
        <f t="shared" si="7"/>
        <v>0.27801431696978324</v>
      </c>
    </row>
    <row r="106" spans="2:12" ht="15" thickBot="1" x14ac:dyDescent="0.35">
      <c r="B106" t="s">
        <v>1</v>
      </c>
      <c r="C106" t="s">
        <v>112</v>
      </c>
      <c r="D106" s="7">
        <v>176</v>
      </c>
      <c r="E106" s="6">
        <v>200</v>
      </c>
      <c r="F106" s="5">
        <v>0.77900000000000003</v>
      </c>
      <c r="G106" s="6">
        <v>150</v>
      </c>
      <c r="H106" s="5">
        <v>0.8306</v>
      </c>
      <c r="I106" s="4">
        <f t="shared" si="4"/>
        <v>0.69217323101603356</v>
      </c>
      <c r="J106" s="3">
        <f t="shared" si="5"/>
        <v>0.30782676898396644</v>
      </c>
      <c r="K106" s="2">
        <f t="shared" si="6"/>
        <v>0.72198568303021671</v>
      </c>
      <c r="L106" s="1">
        <f t="shared" si="7"/>
        <v>0.27801431696978324</v>
      </c>
    </row>
    <row r="107" spans="2:12" ht="15" thickBot="1" x14ac:dyDescent="0.35">
      <c r="B107" t="s">
        <v>1</v>
      </c>
      <c r="C107" t="s">
        <v>111</v>
      </c>
      <c r="D107" s="7">
        <v>176</v>
      </c>
      <c r="E107" s="6">
        <v>200</v>
      </c>
      <c r="F107" s="5">
        <v>0.77900000000000003</v>
      </c>
      <c r="G107" s="6">
        <v>150</v>
      </c>
      <c r="H107" s="5">
        <v>0.8306</v>
      </c>
      <c r="I107" s="4">
        <f t="shared" si="4"/>
        <v>0.69217323101603356</v>
      </c>
      <c r="J107" s="3">
        <f t="shared" si="5"/>
        <v>0.30782676898396644</v>
      </c>
      <c r="K107" s="2">
        <f t="shared" si="6"/>
        <v>0.72198568303021671</v>
      </c>
      <c r="L107" s="1">
        <f t="shared" si="7"/>
        <v>0.27801431696978324</v>
      </c>
    </row>
    <row r="108" spans="2:12" ht="15" thickBot="1" x14ac:dyDescent="0.35">
      <c r="B108" t="s">
        <v>1</v>
      </c>
      <c r="C108" t="s">
        <v>110</v>
      </c>
      <c r="D108" s="7">
        <v>176</v>
      </c>
      <c r="E108" s="6">
        <v>200</v>
      </c>
      <c r="F108" s="5">
        <v>0.77900000000000003</v>
      </c>
      <c r="G108" s="6">
        <v>150</v>
      </c>
      <c r="H108" s="5">
        <v>0.8306</v>
      </c>
      <c r="I108" s="4">
        <f t="shared" si="4"/>
        <v>0.69217323101603356</v>
      </c>
      <c r="J108" s="3">
        <f t="shared" si="5"/>
        <v>0.30782676898396644</v>
      </c>
      <c r="K108" s="2">
        <f t="shared" si="6"/>
        <v>0.72198568303021671</v>
      </c>
      <c r="L108" s="1">
        <f t="shared" si="7"/>
        <v>0.27801431696978324</v>
      </c>
    </row>
    <row r="109" spans="2:12" ht="15" thickBot="1" x14ac:dyDescent="0.35">
      <c r="B109" t="s">
        <v>1</v>
      </c>
      <c r="C109" t="s">
        <v>109</v>
      </c>
      <c r="D109" s="7">
        <v>176</v>
      </c>
      <c r="E109" s="6">
        <v>200</v>
      </c>
      <c r="F109" s="5">
        <v>0.77900000000000003</v>
      </c>
      <c r="G109" s="6">
        <v>150</v>
      </c>
      <c r="H109" s="5">
        <v>0.8306</v>
      </c>
      <c r="I109" s="4">
        <f t="shared" si="4"/>
        <v>0.69217323101603356</v>
      </c>
      <c r="J109" s="3">
        <f t="shared" si="5"/>
        <v>0.30782676898396644</v>
      </c>
      <c r="K109" s="2">
        <f t="shared" si="6"/>
        <v>0.72198568303021671</v>
      </c>
      <c r="L109" s="1">
        <f t="shared" si="7"/>
        <v>0.27801431696978324</v>
      </c>
    </row>
    <row r="110" spans="2:12" ht="15" thickBot="1" x14ac:dyDescent="0.35">
      <c r="B110" t="s">
        <v>1</v>
      </c>
      <c r="C110" t="s">
        <v>108</v>
      </c>
      <c r="D110" s="7">
        <v>176</v>
      </c>
      <c r="E110" s="6">
        <v>200</v>
      </c>
      <c r="F110" s="5">
        <v>0.77900000000000003</v>
      </c>
      <c r="G110" s="6">
        <v>150</v>
      </c>
      <c r="H110" s="5">
        <v>0.8306</v>
      </c>
      <c r="I110" s="4">
        <f t="shared" si="4"/>
        <v>0.69217323101603356</v>
      </c>
      <c r="J110" s="3">
        <f t="shared" si="5"/>
        <v>0.30782676898396644</v>
      </c>
      <c r="K110" s="2">
        <f t="shared" si="6"/>
        <v>0.72198568303021671</v>
      </c>
      <c r="L110" s="1">
        <f t="shared" si="7"/>
        <v>0.27801431696978324</v>
      </c>
    </row>
    <row r="111" spans="2:12" ht="15" thickBot="1" x14ac:dyDescent="0.35">
      <c r="B111" t="s">
        <v>1</v>
      </c>
      <c r="C111" t="s">
        <v>107</v>
      </c>
      <c r="D111" s="7">
        <v>176</v>
      </c>
      <c r="E111" s="6">
        <v>200</v>
      </c>
      <c r="F111" s="5">
        <v>0.77900000000000003</v>
      </c>
      <c r="G111" s="6">
        <v>150</v>
      </c>
      <c r="H111" s="5">
        <v>0.8306</v>
      </c>
      <c r="I111" s="4">
        <f t="shared" si="4"/>
        <v>0.69217323101603356</v>
      </c>
      <c r="J111" s="3">
        <f t="shared" si="5"/>
        <v>0.30782676898396644</v>
      </c>
      <c r="K111" s="2">
        <f t="shared" si="6"/>
        <v>0.72198568303021671</v>
      </c>
      <c r="L111" s="1">
        <f t="shared" si="7"/>
        <v>0.27801431696978324</v>
      </c>
    </row>
    <row r="112" spans="2:12" ht="15" thickBot="1" x14ac:dyDescent="0.35">
      <c r="B112" t="s">
        <v>1</v>
      </c>
      <c r="C112" t="s">
        <v>106</v>
      </c>
      <c r="D112" s="7">
        <v>176</v>
      </c>
      <c r="E112" s="6">
        <v>200</v>
      </c>
      <c r="F112" s="5">
        <v>0.77900000000000003</v>
      </c>
      <c r="G112" s="6">
        <v>150</v>
      </c>
      <c r="H112" s="5">
        <v>0.8306</v>
      </c>
      <c r="I112" s="4">
        <f t="shared" si="4"/>
        <v>0.69217323101603356</v>
      </c>
      <c r="J112" s="3">
        <f t="shared" si="5"/>
        <v>0.30782676898396644</v>
      </c>
      <c r="K112" s="2">
        <f t="shared" si="6"/>
        <v>0.72198568303021671</v>
      </c>
      <c r="L112" s="1">
        <f t="shared" si="7"/>
        <v>0.27801431696978324</v>
      </c>
    </row>
    <row r="113" spans="2:12" ht="15" thickBot="1" x14ac:dyDescent="0.35">
      <c r="B113" t="s">
        <v>1</v>
      </c>
      <c r="C113" t="s">
        <v>105</v>
      </c>
      <c r="D113" s="7">
        <v>176</v>
      </c>
      <c r="E113" s="6">
        <v>200</v>
      </c>
      <c r="F113" s="5">
        <v>0.77900000000000003</v>
      </c>
      <c r="G113" s="6">
        <v>150</v>
      </c>
      <c r="H113" s="5">
        <v>0.8306</v>
      </c>
      <c r="I113" s="4">
        <f t="shared" si="4"/>
        <v>0.69217323101603356</v>
      </c>
      <c r="J113" s="3">
        <f t="shared" si="5"/>
        <v>0.30782676898396644</v>
      </c>
      <c r="K113" s="2">
        <f t="shared" si="6"/>
        <v>0.72198568303021671</v>
      </c>
      <c r="L113" s="1">
        <f t="shared" si="7"/>
        <v>0.27801431696978324</v>
      </c>
    </row>
    <row r="114" spans="2:12" ht="15" thickBot="1" x14ac:dyDescent="0.35">
      <c r="B114" t="s">
        <v>1</v>
      </c>
      <c r="C114" t="s">
        <v>104</v>
      </c>
      <c r="D114" s="7">
        <v>176</v>
      </c>
      <c r="E114" s="6">
        <v>200</v>
      </c>
      <c r="F114" s="5">
        <v>0.77900000000000003</v>
      </c>
      <c r="G114" s="6">
        <v>150</v>
      </c>
      <c r="H114" s="5">
        <v>0.8306</v>
      </c>
      <c r="I114" s="4">
        <f t="shared" si="4"/>
        <v>0.69217323101603356</v>
      </c>
      <c r="J114" s="3">
        <f t="shared" si="5"/>
        <v>0.30782676898396644</v>
      </c>
      <c r="K114" s="2">
        <f t="shared" si="6"/>
        <v>0.72198568303021671</v>
      </c>
      <c r="L114" s="1">
        <f t="shared" si="7"/>
        <v>0.27801431696978324</v>
      </c>
    </row>
    <row r="115" spans="2:12" ht="15" thickBot="1" x14ac:dyDescent="0.35">
      <c r="B115" t="s">
        <v>1</v>
      </c>
      <c r="C115" t="s">
        <v>103</v>
      </c>
      <c r="D115" s="7">
        <v>176</v>
      </c>
      <c r="E115" s="6">
        <v>200</v>
      </c>
      <c r="F115" s="5">
        <v>0.77900000000000003</v>
      </c>
      <c r="G115" s="6">
        <v>150</v>
      </c>
      <c r="H115" s="5">
        <v>0.8306</v>
      </c>
      <c r="I115" s="4">
        <f t="shared" si="4"/>
        <v>0.69217323101603356</v>
      </c>
      <c r="J115" s="3">
        <f t="shared" si="5"/>
        <v>0.30782676898396644</v>
      </c>
      <c r="K115" s="2">
        <f t="shared" si="6"/>
        <v>0.72198568303021671</v>
      </c>
      <c r="L115" s="1">
        <f t="shared" si="7"/>
        <v>0.27801431696978324</v>
      </c>
    </row>
    <row r="116" spans="2:12" ht="15" thickBot="1" x14ac:dyDescent="0.35">
      <c r="B116" t="s">
        <v>1</v>
      </c>
      <c r="C116" t="s">
        <v>102</v>
      </c>
      <c r="D116" s="7">
        <v>176</v>
      </c>
      <c r="E116" s="6">
        <v>200</v>
      </c>
      <c r="F116" s="5">
        <v>0.77900000000000003</v>
      </c>
      <c r="G116" s="6">
        <v>150</v>
      </c>
      <c r="H116" s="5">
        <v>0.8306</v>
      </c>
      <c r="I116" s="4">
        <f t="shared" si="4"/>
        <v>0.69217323101603356</v>
      </c>
      <c r="J116" s="3">
        <f t="shared" si="5"/>
        <v>0.30782676898396644</v>
      </c>
      <c r="K116" s="2">
        <f t="shared" si="6"/>
        <v>0.72198568303021671</v>
      </c>
      <c r="L116" s="1">
        <f t="shared" si="7"/>
        <v>0.27801431696978324</v>
      </c>
    </row>
    <row r="117" spans="2:12" ht="15" thickBot="1" x14ac:dyDescent="0.35">
      <c r="B117" t="s">
        <v>1</v>
      </c>
      <c r="C117" t="s">
        <v>101</v>
      </c>
      <c r="D117" s="7">
        <v>176</v>
      </c>
      <c r="E117" s="6">
        <v>200</v>
      </c>
      <c r="F117" s="5">
        <v>0.77900000000000003</v>
      </c>
      <c r="G117" s="6">
        <v>150</v>
      </c>
      <c r="H117" s="5">
        <v>0.8306</v>
      </c>
      <c r="I117" s="4">
        <f t="shared" si="4"/>
        <v>0.69217323101603356</v>
      </c>
      <c r="J117" s="3">
        <f t="shared" si="5"/>
        <v>0.30782676898396644</v>
      </c>
      <c r="K117" s="2">
        <f t="shared" si="6"/>
        <v>0.72198568303021671</v>
      </c>
      <c r="L117" s="1">
        <f t="shared" si="7"/>
        <v>0.27801431696978324</v>
      </c>
    </row>
    <row r="118" spans="2:12" ht="15" thickBot="1" x14ac:dyDescent="0.35">
      <c r="B118" t="s">
        <v>1</v>
      </c>
      <c r="C118" t="s">
        <v>100</v>
      </c>
      <c r="D118" s="7">
        <v>176</v>
      </c>
      <c r="E118" s="6">
        <v>200</v>
      </c>
      <c r="F118" s="5">
        <v>0.77900000000000003</v>
      </c>
      <c r="G118" s="6">
        <v>150</v>
      </c>
      <c r="H118" s="5">
        <v>0.8306</v>
      </c>
      <c r="I118" s="4">
        <f t="shared" si="4"/>
        <v>0.69217323101603356</v>
      </c>
      <c r="J118" s="3">
        <f t="shared" si="5"/>
        <v>0.30782676898396644</v>
      </c>
      <c r="K118" s="2">
        <f t="shared" si="6"/>
        <v>0.72198568303021671</v>
      </c>
      <c r="L118" s="1">
        <f t="shared" si="7"/>
        <v>0.27801431696978324</v>
      </c>
    </row>
    <row r="119" spans="2:12" ht="15" thickBot="1" x14ac:dyDescent="0.35">
      <c r="B119" t="s">
        <v>1</v>
      </c>
      <c r="C119" t="s">
        <v>99</v>
      </c>
      <c r="D119" s="7">
        <v>176</v>
      </c>
      <c r="E119" s="6">
        <v>200</v>
      </c>
      <c r="F119" s="5">
        <v>0.77900000000000003</v>
      </c>
      <c r="G119" s="6">
        <v>150</v>
      </c>
      <c r="H119" s="5">
        <v>0.8306</v>
      </c>
      <c r="I119" s="4">
        <f t="shared" si="4"/>
        <v>0.69217323101603356</v>
      </c>
      <c r="J119" s="3">
        <f t="shared" si="5"/>
        <v>0.30782676898396644</v>
      </c>
      <c r="K119" s="2">
        <f t="shared" si="6"/>
        <v>0.72198568303021671</v>
      </c>
      <c r="L119" s="1">
        <f t="shared" si="7"/>
        <v>0.27801431696978324</v>
      </c>
    </row>
    <row r="120" spans="2:12" ht="15" thickBot="1" x14ac:dyDescent="0.35">
      <c r="B120" t="s">
        <v>1</v>
      </c>
      <c r="C120" t="s">
        <v>98</v>
      </c>
      <c r="D120" s="7">
        <v>176</v>
      </c>
      <c r="E120" s="6">
        <v>200</v>
      </c>
      <c r="F120" s="5">
        <v>0.77900000000000003</v>
      </c>
      <c r="G120" s="6">
        <v>150</v>
      </c>
      <c r="H120" s="5">
        <v>0.8306</v>
      </c>
      <c r="I120" s="4">
        <f t="shared" si="4"/>
        <v>0.69217323101603356</v>
      </c>
      <c r="J120" s="3">
        <f t="shared" si="5"/>
        <v>0.30782676898396644</v>
      </c>
      <c r="K120" s="2">
        <f t="shared" si="6"/>
        <v>0.72198568303021671</v>
      </c>
      <c r="L120" s="1">
        <f t="shared" si="7"/>
        <v>0.27801431696978324</v>
      </c>
    </row>
    <row r="121" spans="2:12" ht="15" thickBot="1" x14ac:dyDescent="0.35">
      <c r="B121" t="s">
        <v>1</v>
      </c>
      <c r="C121" t="s">
        <v>97</v>
      </c>
      <c r="D121" s="7">
        <v>176</v>
      </c>
      <c r="E121" s="6">
        <v>200</v>
      </c>
      <c r="F121" s="5">
        <v>0.77900000000000003</v>
      </c>
      <c r="G121" s="6">
        <v>150</v>
      </c>
      <c r="H121" s="5">
        <v>0.8306</v>
      </c>
      <c r="I121" s="4">
        <f t="shared" si="4"/>
        <v>0.69217323101603356</v>
      </c>
      <c r="J121" s="3">
        <f t="shared" si="5"/>
        <v>0.30782676898396644</v>
      </c>
      <c r="K121" s="2">
        <f t="shared" si="6"/>
        <v>0.72198568303021671</v>
      </c>
      <c r="L121" s="1">
        <f t="shared" si="7"/>
        <v>0.27801431696978324</v>
      </c>
    </row>
    <row r="122" spans="2:12" ht="15" thickBot="1" x14ac:dyDescent="0.35">
      <c r="B122" t="s">
        <v>1</v>
      </c>
      <c r="C122" t="s">
        <v>96</v>
      </c>
      <c r="D122" s="7">
        <v>176</v>
      </c>
      <c r="E122" s="6">
        <v>200</v>
      </c>
      <c r="F122" s="5">
        <v>0.77900000000000003</v>
      </c>
      <c r="G122" s="6">
        <v>150</v>
      </c>
      <c r="H122" s="5">
        <v>0.8306</v>
      </c>
      <c r="I122" s="4">
        <f t="shared" si="4"/>
        <v>0.69217323101603356</v>
      </c>
      <c r="J122" s="3">
        <f t="shared" si="5"/>
        <v>0.30782676898396644</v>
      </c>
      <c r="K122" s="2">
        <f t="shared" si="6"/>
        <v>0.72198568303021671</v>
      </c>
      <c r="L122" s="1">
        <f t="shared" si="7"/>
        <v>0.27801431696978324</v>
      </c>
    </row>
    <row r="123" spans="2:12" ht="15" thickBot="1" x14ac:dyDescent="0.35">
      <c r="B123" t="s">
        <v>1</v>
      </c>
      <c r="C123" t="s">
        <v>95</v>
      </c>
      <c r="D123" s="7">
        <v>176</v>
      </c>
      <c r="E123" s="6">
        <v>200</v>
      </c>
      <c r="F123" s="5">
        <v>0.77900000000000003</v>
      </c>
      <c r="G123" s="6">
        <v>150</v>
      </c>
      <c r="H123" s="5">
        <v>0.8306</v>
      </c>
      <c r="I123" s="4">
        <f t="shared" si="4"/>
        <v>0.69217323101603356</v>
      </c>
      <c r="J123" s="3">
        <f t="shared" si="5"/>
        <v>0.30782676898396644</v>
      </c>
      <c r="K123" s="2">
        <f t="shared" si="6"/>
        <v>0.72198568303021671</v>
      </c>
      <c r="L123" s="1">
        <f t="shared" si="7"/>
        <v>0.27801431696978324</v>
      </c>
    </row>
    <row r="124" spans="2:12" ht="15" thickBot="1" x14ac:dyDescent="0.35">
      <c r="B124" t="s">
        <v>1</v>
      </c>
      <c r="C124" t="s">
        <v>94</v>
      </c>
      <c r="D124" s="7">
        <v>176</v>
      </c>
      <c r="E124" s="6">
        <v>200</v>
      </c>
      <c r="F124" s="5">
        <v>0.77900000000000003</v>
      </c>
      <c r="G124" s="6">
        <v>150</v>
      </c>
      <c r="H124" s="5">
        <v>0.8306</v>
      </c>
      <c r="I124" s="4">
        <f t="shared" si="4"/>
        <v>0.69217323101603356</v>
      </c>
      <c r="J124" s="3">
        <f t="shared" si="5"/>
        <v>0.30782676898396644</v>
      </c>
      <c r="K124" s="2">
        <f t="shared" si="6"/>
        <v>0.72198568303021671</v>
      </c>
      <c r="L124" s="1">
        <f t="shared" si="7"/>
        <v>0.27801431696978324</v>
      </c>
    </row>
    <row r="125" spans="2:12" ht="15" thickBot="1" x14ac:dyDescent="0.35">
      <c r="B125" t="s">
        <v>1</v>
      </c>
      <c r="C125" t="s">
        <v>93</v>
      </c>
      <c r="D125" s="7">
        <v>176</v>
      </c>
      <c r="E125" s="6">
        <v>200</v>
      </c>
      <c r="F125" s="5">
        <v>0.77900000000000003</v>
      </c>
      <c r="G125" s="6">
        <v>150</v>
      </c>
      <c r="H125" s="5">
        <v>0.8306</v>
      </c>
      <c r="I125" s="4">
        <f t="shared" si="4"/>
        <v>0.69217323101603356</v>
      </c>
      <c r="J125" s="3">
        <f t="shared" si="5"/>
        <v>0.30782676898396644</v>
      </c>
      <c r="K125" s="2">
        <f t="shared" si="6"/>
        <v>0.72198568303021671</v>
      </c>
      <c r="L125" s="1">
        <f t="shared" si="7"/>
        <v>0.27801431696978324</v>
      </c>
    </row>
    <row r="126" spans="2:12" ht="15" thickBot="1" x14ac:dyDescent="0.35">
      <c r="B126" t="s">
        <v>1</v>
      </c>
      <c r="C126" t="s">
        <v>92</v>
      </c>
      <c r="D126" s="7">
        <v>176</v>
      </c>
      <c r="E126" s="6">
        <v>200</v>
      </c>
      <c r="F126" s="5">
        <v>0.77900000000000003</v>
      </c>
      <c r="G126" s="6">
        <v>150</v>
      </c>
      <c r="H126" s="5">
        <v>0.8306</v>
      </c>
      <c r="I126" s="4">
        <f t="shared" si="4"/>
        <v>0.69217323101603356</v>
      </c>
      <c r="J126" s="3">
        <f t="shared" si="5"/>
        <v>0.30782676898396644</v>
      </c>
      <c r="K126" s="2">
        <f t="shared" si="6"/>
        <v>0.72198568303021671</v>
      </c>
      <c r="L126" s="1">
        <f t="shared" si="7"/>
        <v>0.27801431696978324</v>
      </c>
    </row>
    <row r="127" spans="2:12" ht="15" thickBot="1" x14ac:dyDescent="0.35">
      <c r="B127" t="s">
        <v>1</v>
      </c>
      <c r="C127" t="s">
        <v>91</v>
      </c>
      <c r="D127" s="7">
        <v>176</v>
      </c>
      <c r="E127" s="6">
        <v>200</v>
      </c>
      <c r="F127" s="5">
        <v>0.77900000000000003</v>
      </c>
      <c r="G127" s="6">
        <v>150</v>
      </c>
      <c r="H127" s="5">
        <v>0.8306</v>
      </c>
      <c r="I127" s="4">
        <f t="shared" si="4"/>
        <v>0.69217323101603356</v>
      </c>
      <c r="J127" s="3">
        <f t="shared" si="5"/>
        <v>0.30782676898396644</v>
      </c>
      <c r="K127" s="2">
        <f t="shared" si="6"/>
        <v>0.72198568303021671</v>
      </c>
      <c r="L127" s="1">
        <f t="shared" si="7"/>
        <v>0.27801431696978324</v>
      </c>
    </row>
    <row r="128" spans="2:12" ht="15" thickBot="1" x14ac:dyDescent="0.35">
      <c r="B128" t="s">
        <v>1</v>
      </c>
      <c r="C128" t="s">
        <v>90</v>
      </c>
      <c r="D128" s="7">
        <v>176</v>
      </c>
      <c r="E128" s="6">
        <v>200</v>
      </c>
      <c r="F128" s="5">
        <v>0.77900000000000003</v>
      </c>
      <c r="G128" s="6">
        <v>150</v>
      </c>
      <c r="H128" s="5">
        <v>0.8306</v>
      </c>
      <c r="I128" s="4">
        <f t="shared" si="4"/>
        <v>0.69217323101603356</v>
      </c>
      <c r="J128" s="3">
        <f t="shared" si="5"/>
        <v>0.30782676898396644</v>
      </c>
      <c r="K128" s="2">
        <f t="shared" si="6"/>
        <v>0.72198568303021671</v>
      </c>
      <c r="L128" s="1">
        <f t="shared" si="7"/>
        <v>0.27801431696978324</v>
      </c>
    </row>
    <row r="129" spans="2:12" ht="15" thickBot="1" x14ac:dyDescent="0.35">
      <c r="B129" t="s">
        <v>1</v>
      </c>
      <c r="C129" t="s">
        <v>89</v>
      </c>
      <c r="D129" s="7">
        <v>176</v>
      </c>
      <c r="E129" s="6">
        <v>200</v>
      </c>
      <c r="F129" s="5">
        <v>0.77900000000000003</v>
      </c>
      <c r="G129" s="6">
        <v>150</v>
      </c>
      <c r="H129" s="5">
        <v>0.8306</v>
      </c>
      <c r="I129" s="4">
        <f t="shared" si="4"/>
        <v>0.69217323101603356</v>
      </c>
      <c r="J129" s="3">
        <f t="shared" si="5"/>
        <v>0.30782676898396644</v>
      </c>
      <c r="K129" s="2">
        <f t="shared" si="6"/>
        <v>0.72198568303021671</v>
      </c>
      <c r="L129" s="1">
        <f t="shared" si="7"/>
        <v>0.27801431696978324</v>
      </c>
    </row>
    <row r="130" spans="2:12" ht="15" thickBot="1" x14ac:dyDescent="0.35">
      <c r="B130" t="s">
        <v>1</v>
      </c>
      <c r="C130" t="s">
        <v>88</v>
      </c>
      <c r="D130" s="7">
        <v>176</v>
      </c>
      <c r="E130" s="6">
        <v>200</v>
      </c>
      <c r="F130" s="5">
        <v>0.77900000000000003</v>
      </c>
      <c r="G130" s="6">
        <v>150</v>
      </c>
      <c r="H130" s="5">
        <v>0.8306</v>
      </c>
      <c r="I130" s="4">
        <f t="shared" si="4"/>
        <v>0.69217323101603356</v>
      </c>
      <c r="J130" s="3">
        <f t="shared" si="5"/>
        <v>0.30782676898396644</v>
      </c>
      <c r="K130" s="2">
        <f t="shared" si="6"/>
        <v>0.72198568303021671</v>
      </c>
      <c r="L130" s="1">
        <f t="shared" si="7"/>
        <v>0.27801431696978324</v>
      </c>
    </row>
    <row r="131" spans="2:12" ht="15" thickBot="1" x14ac:dyDescent="0.35">
      <c r="B131" t="s">
        <v>1</v>
      </c>
      <c r="C131" t="s">
        <v>87</v>
      </c>
      <c r="D131" s="7">
        <v>176</v>
      </c>
      <c r="E131" s="6">
        <v>200</v>
      </c>
      <c r="F131" s="5">
        <v>0.77900000000000003</v>
      </c>
      <c r="G131" s="6">
        <v>150</v>
      </c>
      <c r="H131" s="5">
        <v>0.8306</v>
      </c>
      <c r="I131" s="4">
        <f t="shared" si="4"/>
        <v>0.69217323101603356</v>
      </c>
      <c r="J131" s="3">
        <f t="shared" si="5"/>
        <v>0.30782676898396644</v>
      </c>
      <c r="K131" s="2">
        <f t="shared" si="6"/>
        <v>0.72198568303021671</v>
      </c>
      <c r="L131" s="1">
        <f t="shared" si="7"/>
        <v>0.27801431696978324</v>
      </c>
    </row>
    <row r="132" spans="2:12" ht="15" thickBot="1" x14ac:dyDescent="0.35">
      <c r="B132" t="s">
        <v>1</v>
      </c>
      <c r="C132" t="s">
        <v>86</v>
      </c>
      <c r="D132" s="7">
        <v>176</v>
      </c>
      <c r="E132" s="6">
        <v>200</v>
      </c>
      <c r="F132" s="5">
        <v>0.77900000000000003</v>
      </c>
      <c r="G132" s="6">
        <v>150</v>
      </c>
      <c r="H132" s="5">
        <v>0.8306</v>
      </c>
      <c r="I132" s="4">
        <f t="shared" si="4"/>
        <v>0.69217323101603356</v>
      </c>
      <c r="J132" s="3">
        <f t="shared" si="5"/>
        <v>0.30782676898396644</v>
      </c>
      <c r="K132" s="2">
        <f t="shared" si="6"/>
        <v>0.72198568303021671</v>
      </c>
      <c r="L132" s="1">
        <f t="shared" si="7"/>
        <v>0.27801431696978324</v>
      </c>
    </row>
    <row r="133" spans="2:12" ht="15" thickBot="1" x14ac:dyDescent="0.35">
      <c r="B133" t="s">
        <v>1</v>
      </c>
      <c r="C133" t="s">
        <v>85</v>
      </c>
      <c r="D133" s="7">
        <v>176</v>
      </c>
      <c r="E133" s="6">
        <v>200</v>
      </c>
      <c r="F133" s="5">
        <v>0.77900000000000003</v>
      </c>
      <c r="G133" s="6">
        <v>150</v>
      </c>
      <c r="H133" s="5">
        <v>0.8306</v>
      </c>
      <c r="I133" s="4">
        <f t="shared" si="4"/>
        <v>0.69217323101603356</v>
      </c>
      <c r="J133" s="3">
        <f t="shared" si="5"/>
        <v>0.30782676898396644</v>
      </c>
      <c r="K133" s="2">
        <f t="shared" si="6"/>
        <v>0.72198568303021671</v>
      </c>
      <c r="L133" s="1">
        <f t="shared" si="7"/>
        <v>0.27801431696978324</v>
      </c>
    </row>
    <row r="134" spans="2:12" ht="15" thickBot="1" x14ac:dyDescent="0.35">
      <c r="B134" t="s">
        <v>1</v>
      </c>
      <c r="C134" t="s">
        <v>84</v>
      </c>
      <c r="D134" s="7">
        <v>176</v>
      </c>
      <c r="E134" s="6">
        <v>200</v>
      </c>
      <c r="F134" s="5">
        <v>0.77900000000000003</v>
      </c>
      <c r="G134" s="6">
        <v>150</v>
      </c>
      <c r="H134" s="5">
        <v>0.8306</v>
      </c>
      <c r="I134" s="4">
        <f t="shared" si="4"/>
        <v>0.69217323101603356</v>
      </c>
      <c r="J134" s="3">
        <f t="shared" si="5"/>
        <v>0.30782676898396644</v>
      </c>
      <c r="K134" s="2">
        <f t="shared" si="6"/>
        <v>0.72198568303021671</v>
      </c>
      <c r="L134" s="1">
        <f t="shared" si="7"/>
        <v>0.27801431696978324</v>
      </c>
    </row>
    <row r="135" spans="2:12" ht="15" thickBot="1" x14ac:dyDescent="0.35">
      <c r="B135" t="s">
        <v>1</v>
      </c>
      <c r="C135" t="s">
        <v>83</v>
      </c>
      <c r="D135" s="7">
        <v>176</v>
      </c>
      <c r="E135" s="6">
        <v>200</v>
      </c>
      <c r="F135" s="5">
        <v>0.77900000000000003</v>
      </c>
      <c r="G135" s="6">
        <v>150</v>
      </c>
      <c r="H135" s="5">
        <v>0.8306</v>
      </c>
      <c r="I135" s="4">
        <f t="shared" si="4"/>
        <v>0.69217323101603356</v>
      </c>
      <c r="J135" s="3">
        <f t="shared" si="5"/>
        <v>0.30782676898396644</v>
      </c>
      <c r="K135" s="2">
        <f t="shared" si="6"/>
        <v>0.72198568303021671</v>
      </c>
      <c r="L135" s="1">
        <f t="shared" si="7"/>
        <v>0.27801431696978324</v>
      </c>
    </row>
    <row r="136" spans="2:12" ht="15" thickBot="1" x14ac:dyDescent="0.35">
      <c r="B136" t="s">
        <v>1</v>
      </c>
      <c r="C136" t="s">
        <v>82</v>
      </c>
      <c r="D136" s="7">
        <v>176</v>
      </c>
      <c r="E136" s="6">
        <v>200</v>
      </c>
      <c r="F136" s="5">
        <v>0.77900000000000003</v>
      </c>
      <c r="G136" s="6">
        <v>150</v>
      </c>
      <c r="H136" s="5">
        <v>0.8306</v>
      </c>
      <c r="I136" s="4">
        <f t="shared" si="4"/>
        <v>0.69217323101603356</v>
      </c>
      <c r="J136" s="3">
        <f t="shared" si="5"/>
        <v>0.30782676898396644</v>
      </c>
      <c r="K136" s="2">
        <f t="shared" si="6"/>
        <v>0.72198568303021671</v>
      </c>
      <c r="L136" s="1">
        <f t="shared" si="7"/>
        <v>0.27801431696978324</v>
      </c>
    </row>
    <row r="137" spans="2:12" ht="15" thickBot="1" x14ac:dyDescent="0.35">
      <c r="B137" t="s">
        <v>1</v>
      </c>
      <c r="C137" t="s">
        <v>81</v>
      </c>
      <c r="D137" s="7">
        <v>176</v>
      </c>
      <c r="E137" s="6">
        <v>200</v>
      </c>
      <c r="F137" s="5">
        <v>0.77900000000000003</v>
      </c>
      <c r="G137" s="6">
        <v>150</v>
      </c>
      <c r="H137" s="5">
        <v>0.8306</v>
      </c>
      <c r="I137" s="4">
        <f t="shared" si="4"/>
        <v>0.69217323101603356</v>
      </c>
      <c r="J137" s="3">
        <f t="shared" si="5"/>
        <v>0.30782676898396644</v>
      </c>
      <c r="K137" s="2">
        <f t="shared" si="6"/>
        <v>0.72198568303021671</v>
      </c>
      <c r="L137" s="1">
        <f t="shared" si="7"/>
        <v>0.27801431696978324</v>
      </c>
    </row>
    <row r="138" spans="2:12" ht="15" thickBot="1" x14ac:dyDescent="0.35">
      <c r="B138" t="s">
        <v>1</v>
      </c>
      <c r="C138" t="s">
        <v>80</v>
      </c>
      <c r="D138" s="7">
        <v>176</v>
      </c>
      <c r="E138" s="6">
        <v>200</v>
      </c>
      <c r="F138" s="5">
        <v>0.77900000000000003</v>
      </c>
      <c r="G138" s="6">
        <v>150</v>
      </c>
      <c r="H138" s="5">
        <v>0.8306</v>
      </c>
      <c r="I138" s="4">
        <f t="shared" si="4"/>
        <v>0.69217323101603356</v>
      </c>
      <c r="J138" s="3">
        <f t="shared" si="5"/>
        <v>0.30782676898396644</v>
      </c>
      <c r="K138" s="2">
        <f t="shared" si="6"/>
        <v>0.72198568303021671</v>
      </c>
      <c r="L138" s="1">
        <f t="shared" si="7"/>
        <v>0.27801431696978324</v>
      </c>
    </row>
    <row r="139" spans="2:12" ht="15" thickBot="1" x14ac:dyDescent="0.35">
      <c r="B139" t="s">
        <v>1</v>
      </c>
      <c r="C139" t="s">
        <v>79</v>
      </c>
      <c r="D139" s="7">
        <v>176</v>
      </c>
      <c r="E139" s="6">
        <v>200</v>
      </c>
      <c r="F139" s="5">
        <v>0.77900000000000003</v>
      </c>
      <c r="G139" s="6">
        <v>150</v>
      </c>
      <c r="H139" s="5">
        <v>0.8306</v>
      </c>
      <c r="I139" s="4">
        <f t="shared" si="4"/>
        <v>0.69217323101603356</v>
      </c>
      <c r="J139" s="3">
        <f t="shared" si="5"/>
        <v>0.30782676898396644</v>
      </c>
      <c r="K139" s="2">
        <f t="shared" si="6"/>
        <v>0.72198568303021671</v>
      </c>
      <c r="L139" s="1">
        <f t="shared" si="7"/>
        <v>0.27801431696978324</v>
      </c>
    </row>
    <row r="140" spans="2:12" ht="15" thickBot="1" x14ac:dyDescent="0.35">
      <c r="B140" t="s">
        <v>1</v>
      </c>
      <c r="C140" t="s">
        <v>78</v>
      </c>
      <c r="D140" s="7">
        <v>176</v>
      </c>
      <c r="E140" s="6">
        <v>200</v>
      </c>
      <c r="F140" s="5">
        <v>0.77900000000000003</v>
      </c>
      <c r="G140" s="6">
        <v>150</v>
      </c>
      <c r="H140" s="5">
        <v>0.8306</v>
      </c>
      <c r="I140" s="4">
        <f t="shared" si="4"/>
        <v>0.69217323101603356</v>
      </c>
      <c r="J140" s="3">
        <f t="shared" si="5"/>
        <v>0.30782676898396644</v>
      </c>
      <c r="K140" s="2">
        <f t="shared" si="6"/>
        <v>0.72198568303021671</v>
      </c>
      <c r="L140" s="1">
        <f t="shared" si="7"/>
        <v>0.27801431696978324</v>
      </c>
    </row>
    <row r="141" spans="2:12" ht="15" thickBot="1" x14ac:dyDescent="0.35">
      <c r="B141" t="s">
        <v>1</v>
      </c>
      <c r="C141" t="s">
        <v>77</v>
      </c>
      <c r="D141" s="7">
        <v>176</v>
      </c>
      <c r="E141" s="6">
        <v>200</v>
      </c>
      <c r="F141" s="5">
        <v>0.77900000000000003</v>
      </c>
      <c r="G141" s="6">
        <v>150</v>
      </c>
      <c r="H141" s="5">
        <v>0.8306</v>
      </c>
      <c r="I141" s="4">
        <f t="shared" si="4"/>
        <v>0.69217323101603356</v>
      </c>
      <c r="J141" s="3">
        <f t="shared" si="5"/>
        <v>0.30782676898396644</v>
      </c>
      <c r="K141" s="2">
        <f t="shared" si="6"/>
        <v>0.72198568303021671</v>
      </c>
      <c r="L141" s="1">
        <f t="shared" si="7"/>
        <v>0.27801431696978324</v>
      </c>
    </row>
    <row r="142" spans="2:12" ht="15" thickBot="1" x14ac:dyDescent="0.35">
      <c r="B142" t="s">
        <v>1</v>
      </c>
      <c r="C142" t="s">
        <v>76</v>
      </c>
      <c r="D142" s="7">
        <v>176</v>
      </c>
      <c r="E142" s="6">
        <v>200</v>
      </c>
      <c r="F142" s="5">
        <v>0.77900000000000003</v>
      </c>
      <c r="G142" s="6">
        <v>150</v>
      </c>
      <c r="H142" s="5">
        <v>0.8306</v>
      </c>
      <c r="I142" s="4">
        <f t="shared" si="4"/>
        <v>0.69217323101603356</v>
      </c>
      <c r="J142" s="3">
        <f t="shared" si="5"/>
        <v>0.30782676898396644</v>
      </c>
      <c r="K142" s="2">
        <f t="shared" si="6"/>
        <v>0.72198568303021671</v>
      </c>
      <c r="L142" s="1">
        <f t="shared" si="7"/>
        <v>0.27801431696978324</v>
      </c>
    </row>
    <row r="143" spans="2:12" ht="15" thickBot="1" x14ac:dyDescent="0.35">
      <c r="B143" t="s">
        <v>1</v>
      </c>
      <c r="C143" t="s">
        <v>75</v>
      </c>
      <c r="D143" s="7">
        <v>176</v>
      </c>
      <c r="E143" s="6">
        <v>200</v>
      </c>
      <c r="F143" s="5">
        <v>0.77900000000000003</v>
      </c>
      <c r="G143" s="6">
        <v>150</v>
      </c>
      <c r="H143" s="5">
        <v>0.8306</v>
      </c>
      <c r="I143" s="4">
        <f t="shared" si="4"/>
        <v>0.69217323101603356</v>
      </c>
      <c r="J143" s="3">
        <f t="shared" si="5"/>
        <v>0.30782676898396644</v>
      </c>
      <c r="K143" s="2">
        <f t="shared" si="6"/>
        <v>0.72198568303021671</v>
      </c>
      <c r="L143" s="1">
        <f t="shared" si="7"/>
        <v>0.27801431696978324</v>
      </c>
    </row>
    <row r="144" spans="2:12" ht="15" thickBot="1" x14ac:dyDescent="0.35">
      <c r="B144" t="s">
        <v>1</v>
      </c>
      <c r="C144" t="s">
        <v>74</v>
      </c>
      <c r="D144" s="7">
        <v>176</v>
      </c>
      <c r="E144" s="6">
        <v>200</v>
      </c>
      <c r="F144" s="5">
        <v>0.77900000000000003</v>
      </c>
      <c r="G144" s="6">
        <v>150</v>
      </c>
      <c r="H144" s="5">
        <v>0.8306</v>
      </c>
      <c r="I144" s="4">
        <f t="shared" si="4"/>
        <v>0.69217323101603356</v>
      </c>
      <c r="J144" s="3">
        <f t="shared" si="5"/>
        <v>0.30782676898396644</v>
      </c>
      <c r="K144" s="2">
        <f t="shared" si="6"/>
        <v>0.72198568303021671</v>
      </c>
      <c r="L144" s="1">
        <f t="shared" si="7"/>
        <v>0.27801431696978324</v>
      </c>
    </row>
    <row r="145" spans="2:12" ht="15" thickBot="1" x14ac:dyDescent="0.35">
      <c r="B145" t="s">
        <v>1</v>
      </c>
      <c r="C145" t="s">
        <v>73</v>
      </c>
      <c r="D145" s="7">
        <v>176</v>
      </c>
      <c r="E145" s="6">
        <v>200</v>
      </c>
      <c r="F145" s="5">
        <v>0.77900000000000003</v>
      </c>
      <c r="G145" s="6">
        <v>150</v>
      </c>
      <c r="H145" s="5">
        <v>0.8306</v>
      </c>
      <c r="I145" s="4">
        <f t="shared" si="4"/>
        <v>0.69217323101603356</v>
      </c>
      <c r="J145" s="3">
        <f t="shared" si="5"/>
        <v>0.30782676898396644</v>
      </c>
      <c r="K145" s="2">
        <f t="shared" si="6"/>
        <v>0.72198568303021671</v>
      </c>
      <c r="L145" s="1">
        <f t="shared" si="7"/>
        <v>0.27801431696978324</v>
      </c>
    </row>
    <row r="146" spans="2:12" ht="15" thickBot="1" x14ac:dyDescent="0.35">
      <c r="B146" t="s">
        <v>1</v>
      </c>
      <c r="C146" t="s">
        <v>72</v>
      </c>
      <c r="D146" s="7">
        <v>176</v>
      </c>
      <c r="E146" s="6">
        <v>200</v>
      </c>
      <c r="F146" s="5">
        <v>0.77900000000000003</v>
      </c>
      <c r="G146" s="6">
        <v>150</v>
      </c>
      <c r="H146" s="5">
        <v>0.8306</v>
      </c>
      <c r="I146" s="4">
        <f t="shared" si="4"/>
        <v>0.69217323101603356</v>
      </c>
      <c r="J146" s="3">
        <f t="shared" si="5"/>
        <v>0.30782676898396644</v>
      </c>
      <c r="K146" s="2">
        <f t="shared" si="6"/>
        <v>0.72198568303021671</v>
      </c>
      <c r="L146" s="1">
        <f t="shared" si="7"/>
        <v>0.27801431696978324</v>
      </c>
    </row>
    <row r="147" spans="2:12" ht="15" thickBot="1" x14ac:dyDescent="0.35">
      <c r="B147" t="s">
        <v>1</v>
      </c>
      <c r="C147" t="s">
        <v>71</v>
      </c>
      <c r="D147" s="7">
        <v>176</v>
      </c>
      <c r="E147" s="6">
        <v>200</v>
      </c>
      <c r="F147" s="5">
        <v>0.77900000000000003</v>
      </c>
      <c r="G147" s="6">
        <v>150</v>
      </c>
      <c r="H147" s="5">
        <v>0.8306</v>
      </c>
      <c r="I147" s="4">
        <f t="shared" si="4"/>
        <v>0.69217323101603356</v>
      </c>
      <c r="J147" s="3">
        <f t="shared" si="5"/>
        <v>0.30782676898396644</v>
      </c>
      <c r="K147" s="2">
        <f t="shared" si="6"/>
        <v>0.72198568303021671</v>
      </c>
      <c r="L147" s="1">
        <f t="shared" si="7"/>
        <v>0.27801431696978324</v>
      </c>
    </row>
    <row r="148" spans="2:12" ht="15" thickBot="1" x14ac:dyDescent="0.35">
      <c r="B148" t="s">
        <v>1</v>
      </c>
      <c r="C148" t="s">
        <v>70</v>
      </c>
      <c r="D148" s="7">
        <v>176</v>
      </c>
      <c r="E148" s="6">
        <v>200</v>
      </c>
      <c r="F148" s="5">
        <v>0.77900000000000003</v>
      </c>
      <c r="G148" s="6">
        <v>150</v>
      </c>
      <c r="H148" s="5">
        <v>0.8306</v>
      </c>
      <c r="I148" s="4">
        <f t="shared" si="4"/>
        <v>0.69217323101603356</v>
      </c>
      <c r="J148" s="3">
        <f t="shared" si="5"/>
        <v>0.30782676898396644</v>
      </c>
      <c r="K148" s="2">
        <f t="shared" si="6"/>
        <v>0.72198568303021671</v>
      </c>
      <c r="L148" s="1">
        <f t="shared" si="7"/>
        <v>0.27801431696978324</v>
      </c>
    </row>
    <row r="149" spans="2:12" ht="15" thickBot="1" x14ac:dyDescent="0.35">
      <c r="B149" t="s">
        <v>1</v>
      </c>
      <c r="C149" t="s">
        <v>69</v>
      </c>
      <c r="D149" s="7">
        <v>176</v>
      </c>
      <c r="E149" s="6">
        <v>200</v>
      </c>
      <c r="F149" s="5">
        <v>0.77900000000000003</v>
      </c>
      <c r="G149" s="6">
        <v>150</v>
      </c>
      <c r="H149" s="5">
        <v>0.8306</v>
      </c>
      <c r="I149" s="4">
        <f t="shared" ref="I149:I212" si="8">NORMSDIST(LN(E149/D149)/(F149*SQRT($H$2/365)))</f>
        <v>0.69217323101603356</v>
      </c>
      <c r="J149" s="3">
        <f t="shared" ref="J149:J212" si="9">1-NORMSDIST(LN(E149/D149)/(F149*SQRT($H$2/365)))</f>
        <v>0.30782676898396644</v>
      </c>
      <c r="K149" s="2">
        <f t="shared" ref="K149:K212" si="10">1-NORMSDIST(LN(G149/D149)/(H149*SQRT($H$2/365)))</f>
        <v>0.72198568303021671</v>
      </c>
      <c r="L149" s="1">
        <f t="shared" ref="L149:L212" si="11">NORMSDIST(LN(G149/D149)/(H149*SQRT($H$2/365)))</f>
        <v>0.27801431696978324</v>
      </c>
    </row>
    <row r="150" spans="2:12" ht="15" thickBot="1" x14ac:dyDescent="0.35">
      <c r="B150" t="s">
        <v>1</v>
      </c>
      <c r="C150" t="s">
        <v>68</v>
      </c>
      <c r="D150" s="7">
        <v>176</v>
      </c>
      <c r="E150" s="6">
        <v>200</v>
      </c>
      <c r="F150" s="5">
        <v>0.77900000000000003</v>
      </c>
      <c r="G150" s="6">
        <v>150</v>
      </c>
      <c r="H150" s="5">
        <v>0.8306</v>
      </c>
      <c r="I150" s="4">
        <f t="shared" si="8"/>
        <v>0.69217323101603356</v>
      </c>
      <c r="J150" s="3">
        <f t="shared" si="9"/>
        <v>0.30782676898396644</v>
      </c>
      <c r="K150" s="2">
        <f t="shared" si="10"/>
        <v>0.72198568303021671</v>
      </c>
      <c r="L150" s="1">
        <f t="shared" si="11"/>
        <v>0.27801431696978324</v>
      </c>
    </row>
    <row r="151" spans="2:12" ht="15" thickBot="1" x14ac:dyDescent="0.35">
      <c r="B151" t="s">
        <v>1</v>
      </c>
      <c r="C151" t="s">
        <v>67</v>
      </c>
      <c r="D151" s="7">
        <v>176</v>
      </c>
      <c r="E151" s="6">
        <v>200</v>
      </c>
      <c r="F151" s="5">
        <v>0.77900000000000003</v>
      </c>
      <c r="G151" s="6">
        <v>150</v>
      </c>
      <c r="H151" s="5">
        <v>0.8306</v>
      </c>
      <c r="I151" s="4">
        <f t="shared" si="8"/>
        <v>0.69217323101603356</v>
      </c>
      <c r="J151" s="3">
        <f t="shared" si="9"/>
        <v>0.30782676898396644</v>
      </c>
      <c r="K151" s="2">
        <f t="shared" si="10"/>
        <v>0.72198568303021671</v>
      </c>
      <c r="L151" s="1">
        <f t="shared" si="11"/>
        <v>0.27801431696978324</v>
      </c>
    </row>
    <row r="152" spans="2:12" ht="15" thickBot="1" x14ac:dyDescent="0.35">
      <c r="B152" t="s">
        <v>1</v>
      </c>
      <c r="C152" t="s">
        <v>66</v>
      </c>
      <c r="D152" s="7">
        <v>176</v>
      </c>
      <c r="E152" s="6">
        <v>200</v>
      </c>
      <c r="F152" s="5">
        <v>0.77900000000000003</v>
      </c>
      <c r="G152" s="6">
        <v>150</v>
      </c>
      <c r="H152" s="5">
        <v>0.8306</v>
      </c>
      <c r="I152" s="4">
        <f t="shared" si="8"/>
        <v>0.69217323101603356</v>
      </c>
      <c r="J152" s="3">
        <f t="shared" si="9"/>
        <v>0.30782676898396644</v>
      </c>
      <c r="K152" s="2">
        <f t="shared" si="10"/>
        <v>0.72198568303021671</v>
      </c>
      <c r="L152" s="1">
        <f t="shared" si="11"/>
        <v>0.27801431696978324</v>
      </c>
    </row>
    <row r="153" spans="2:12" ht="15" thickBot="1" x14ac:dyDescent="0.35">
      <c r="B153" t="s">
        <v>1</v>
      </c>
      <c r="C153" t="s">
        <v>65</v>
      </c>
      <c r="D153" s="7">
        <v>176</v>
      </c>
      <c r="E153" s="6">
        <v>200</v>
      </c>
      <c r="F153" s="5">
        <v>0.77900000000000003</v>
      </c>
      <c r="G153" s="6">
        <v>150</v>
      </c>
      <c r="H153" s="5">
        <v>0.8306</v>
      </c>
      <c r="I153" s="4">
        <f t="shared" si="8"/>
        <v>0.69217323101603356</v>
      </c>
      <c r="J153" s="3">
        <f t="shared" si="9"/>
        <v>0.30782676898396644</v>
      </c>
      <c r="K153" s="2">
        <f t="shared" si="10"/>
        <v>0.72198568303021671</v>
      </c>
      <c r="L153" s="1">
        <f t="shared" si="11"/>
        <v>0.27801431696978324</v>
      </c>
    </row>
    <row r="154" spans="2:12" ht="15" thickBot="1" x14ac:dyDescent="0.35">
      <c r="B154" t="s">
        <v>1</v>
      </c>
      <c r="C154" t="s">
        <v>64</v>
      </c>
      <c r="D154" s="7">
        <v>176</v>
      </c>
      <c r="E154" s="6">
        <v>200</v>
      </c>
      <c r="F154" s="5">
        <v>0.77900000000000003</v>
      </c>
      <c r="G154" s="6">
        <v>150</v>
      </c>
      <c r="H154" s="5">
        <v>0.8306</v>
      </c>
      <c r="I154" s="4">
        <f t="shared" si="8"/>
        <v>0.69217323101603356</v>
      </c>
      <c r="J154" s="3">
        <f t="shared" si="9"/>
        <v>0.30782676898396644</v>
      </c>
      <c r="K154" s="2">
        <f t="shared" si="10"/>
        <v>0.72198568303021671</v>
      </c>
      <c r="L154" s="1">
        <f t="shared" si="11"/>
        <v>0.27801431696978324</v>
      </c>
    </row>
    <row r="155" spans="2:12" ht="15" thickBot="1" x14ac:dyDescent="0.35">
      <c r="B155" t="s">
        <v>1</v>
      </c>
      <c r="C155" t="s">
        <v>63</v>
      </c>
      <c r="D155" s="7">
        <v>176</v>
      </c>
      <c r="E155" s="6">
        <v>200</v>
      </c>
      <c r="F155" s="5">
        <v>0.77900000000000003</v>
      </c>
      <c r="G155" s="6">
        <v>150</v>
      </c>
      <c r="H155" s="5">
        <v>0.8306</v>
      </c>
      <c r="I155" s="4">
        <f t="shared" si="8"/>
        <v>0.69217323101603356</v>
      </c>
      <c r="J155" s="3">
        <f t="shared" si="9"/>
        <v>0.30782676898396644</v>
      </c>
      <c r="K155" s="2">
        <f t="shared" si="10"/>
        <v>0.72198568303021671</v>
      </c>
      <c r="L155" s="1">
        <f t="shared" si="11"/>
        <v>0.27801431696978324</v>
      </c>
    </row>
    <row r="156" spans="2:12" ht="15" thickBot="1" x14ac:dyDescent="0.35">
      <c r="B156" t="s">
        <v>1</v>
      </c>
      <c r="C156" t="s">
        <v>62</v>
      </c>
      <c r="D156" s="7">
        <v>176</v>
      </c>
      <c r="E156" s="6">
        <v>200</v>
      </c>
      <c r="F156" s="5">
        <v>0.77900000000000003</v>
      </c>
      <c r="G156" s="6">
        <v>150</v>
      </c>
      <c r="H156" s="5">
        <v>0.8306</v>
      </c>
      <c r="I156" s="4">
        <f t="shared" si="8"/>
        <v>0.69217323101603356</v>
      </c>
      <c r="J156" s="3">
        <f t="shared" si="9"/>
        <v>0.30782676898396644</v>
      </c>
      <c r="K156" s="2">
        <f t="shared" si="10"/>
        <v>0.72198568303021671</v>
      </c>
      <c r="L156" s="1">
        <f t="shared" si="11"/>
        <v>0.27801431696978324</v>
      </c>
    </row>
    <row r="157" spans="2:12" ht="15" thickBot="1" x14ac:dyDescent="0.35">
      <c r="B157" t="s">
        <v>1</v>
      </c>
      <c r="C157" t="s">
        <v>61</v>
      </c>
      <c r="D157" s="7">
        <v>176</v>
      </c>
      <c r="E157" s="6">
        <v>200</v>
      </c>
      <c r="F157" s="5">
        <v>0.77900000000000003</v>
      </c>
      <c r="G157" s="6">
        <v>150</v>
      </c>
      <c r="H157" s="5">
        <v>0.8306</v>
      </c>
      <c r="I157" s="4">
        <f t="shared" si="8"/>
        <v>0.69217323101603356</v>
      </c>
      <c r="J157" s="3">
        <f t="shared" si="9"/>
        <v>0.30782676898396644</v>
      </c>
      <c r="K157" s="2">
        <f t="shared" si="10"/>
        <v>0.72198568303021671</v>
      </c>
      <c r="L157" s="1">
        <f t="shared" si="11"/>
        <v>0.27801431696978324</v>
      </c>
    </row>
    <row r="158" spans="2:12" ht="15" thickBot="1" x14ac:dyDescent="0.35">
      <c r="B158" t="s">
        <v>1</v>
      </c>
      <c r="C158" t="s">
        <v>60</v>
      </c>
      <c r="D158" s="7">
        <v>176</v>
      </c>
      <c r="E158" s="6">
        <v>200</v>
      </c>
      <c r="F158" s="5">
        <v>0.77900000000000003</v>
      </c>
      <c r="G158" s="6">
        <v>150</v>
      </c>
      <c r="H158" s="5">
        <v>0.8306</v>
      </c>
      <c r="I158" s="4">
        <f t="shared" si="8"/>
        <v>0.69217323101603356</v>
      </c>
      <c r="J158" s="3">
        <f t="shared" si="9"/>
        <v>0.30782676898396644</v>
      </c>
      <c r="K158" s="2">
        <f t="shared" si="10"/>
        <v>0.72198568303021671</v>
      </c>
      <c r="L158" s="1">
        <f t="shared" si="11"/>
        <v>0.27801431696978324</v>
      </c>
    </row>
    <row r="159" spans="2:12" ht="15" thickBot="1" x14ac:dyDescent="0.35">
      <c r="B159" t="s">
        <v>1</v>
      </c>
      <c r="C159" t="s">
        <v>59</v>
      </c>
      <c r="D159" s="7">
        <v>176</v>
      </c>
      <c r="E159" s="6">
        <v>200</v>
      </c>
      <c r="F159" s="5">
        <v>0.77900000000000003</v>
      </c>
      <c r="G159" s="6">
        <v>150</v>
      </c>
      <c r="H159" s="5">
        <v>0.8306</v>
      </c>
      <c r="I159" s="4">
        <f t="shared" si="8"/>
        <v>0.69217323101603356</v>
      </c>
      <c r="J159" s="3">
        <f t="shared" si="9"/>
        <v>0.30782676898396644</v>
      </c>
      <c r="K159" s="2">
        <f t="shared" si="10"/>
        <v>0.72198568303021671</v>
      </c>
      <c r="L159" s="1">
        <f t="shared" si="11"/>
        <v>0.27801431696978324</v>
      </c>
    </row>
    <row r="160" spans="2:12" ht="15" thickBot="1" x14ac:dyDescent="0.35">
      <c r="B160" t="s">
        <v>1</v>
      </c>
      <c r="C160" t="s">
        <v>58</v>
      </c>
      <c r="D160" s="7">
        <v>176</v>
      </c>
      <c r="E160" s="6">
        <v>200</v>
      </c>
      <c r="F160" s="5">
        <v>0.77900000000000003</v>
      </c>
      <c r="G160" s="6">
        <v>150</v>
      </c>
      <c r="H160" s="5">
        <v>0.8306</v>
      </c>
      <c r="I160" s="4">
        <f t="shared" si="8"/>
        <v>0.69217323101603356</v>
      </c>
      <c r="J160" s="3">
        <f t="shared" si="9"/>
        <v>0.30782676898396644</v>
      </c>
      <c r="K160" s="2">
        <f t="shared" si="10"/>
        <v>0.72198568303021671</v>
      </c>
      <c r="L160" s="1">
        <f t="shared" si="11"/>
        <v>0.27801431696978324</v>
      </c>
    </row>
    <row r="161" spans="2:12" ht="15" thickBot="1" x14ac:dyDescent="0.35">
      <c r="B161" t="s">
        <v>1</v>
      </c>
      <c r="C161" t="s">
        <v>57</v>
      </c>
      <c r="D161" s="7">
        <v>176</v>
      </c>
      <c r="E161" s="6">
        <v>200</v>
      </c>
      <c r="F161" s="5">
        <v>0.77900000000000003</v>
      </c>
      <c r="G161" s="6">
        <v>150</v>
      </c>
      <c r="H161" s="5">
        <v>0.8306</v>
      </c>
      <c r="I161" s="4">
        <f t="shared" si="8"/>
        <v>0.69217323101603356</v>
      </c>
      <c r="J161" s="3">
        <f t="shared" si="9"/>
        <v>0.30782676898396644</v>
      </c>
      <c r="K161" s="2">
        <f t="shared" si="10"/>
        <v>0.72198568303021671</v>
      </c>
      <c r="L161" s="1">
        <f t="shared" si="11"/>
        <v>0.27801431696978324</v>
      </c>
    </row>
    <row r="162" spans="2:12" ht="15" thickBot="1" x14ac:dyDescent="0.35">
      <c r="B162" t="s">
        <v>1</v>
      </c>
      <c r="C162" t="s">
        <v>56</v>
      </c>
      <c r="D162" s="7">
        <v>176</v>
      </c>
      <c r="E162" s="6">
        <v>200</v>
      </c>
      <c r="F162" s="5">
        <v>0.77900000000000003</v>
      </c>
      <c r="G162" s="6">
        <v>150</v>
      </c>
      <c r="H162" s="5">
        <v>0.8306</v>
      </c>
      <c r="I162" s="4">
        <f t="shared" si="8"/>
        <v>0.69217323101603356</v>
      </c>
      <c r="J162" s="3">
        <f t="shared" si="9"/>
        <v>0.30782676898396644</v>
      </c>
      <c r="K162" s="2">
        <f t="shared" si="10"/>
        <v>0.72198568303021671</v>
      </c>
      <c r="L162" s="1">
        <f t="shared" si="11"/>
        <v>0.27801431696978324</v>
      </c>
    </row>
    <row r="163" spans="2:12" ht="15" thickBot="1" x14ac:dyDescent="0.35">
      <c r="B163" t="s">
        <v>1</v>
      </c>
      <c r="C163" t="s">
        <v>55</v>
      </c>
      <c r="D163" s="7">
        <v>176</v>
      </c>
      <c r="E163" s="6">
        <v>200</v>
      </c>
      <c r="F163" s="5">
        <v>0.77900000000000003</v>
      </c>
      <c r="G163" s="6">
        <v>150</v>
      </c>
      <c r="H163" s="5">
        <v>0.8306</v>
      </c>
      <c r="I163" s="4">
        <f t="shared" si="8"/>
        <v>0.69217323101603356</v>
      </c>
      <c r="J163" s="3">
        <f t="shared" si="9"/>
        <v>0.30782676898396644</v>
      </c>
      <c r="K163" s="2">
        <f t="shared" si="10"/>
        <v>0.72198568303021671</v>
      </c>
      <c r="L163" s="1">
        <f t="shared" si="11"/>
        <v>0.27801431696978324</v>
      </c>
    </row>
    <row r="164" spans="2:12" ht="15" thickBot="1" x14ac:dyDescent="0.35">
      <c r="B164" t="s">
        <v>1</v>
      </c>
      <c r="C164" t="s">
        <v>54</v>
      </c>
      <c r="D164" s="7">
        <v>176</v>
      </c>
      <c r="E164" s="6">
        <v>200</v>
      </c>
      <c r="F164" s="5">
        <v>0.77900000000000003</v>
      </c>
      <c r="G164" s="6">
        <v>150</v>
      </c>
      <c r="H164" s="5">
        <v>0.8306</v>
      </c>
      <c r="I164" s="4">
        <f t="shared" si="8"/>
        <v>0.69217323101603356</v>
      </c>
      <c r="J164" s="3">
        <f t="shared" si="9"/>
        <v>0.30782676898396644</v>
      </c>
      <c r="K164" s="2">
        <f t="shared" si="10"/>
        <v>0.72198568303021671</v>
      </c>
      <c r="L164" s="1">
        <f t="shared" si="11"/>
        <v>0.27801431696978324</v>
      </c>
    </row>
    <row r="165" spans="2:12" ht="15" thickBot="1" x14ac:dyDescent="0.35">
      <c r="B165" t="s">
        <v>1</v>
      </c>
      <c r="C165" t="s">
        <v>53</v>
      </c>
      <c r="D165" s="7">
        <v>176</v>
      </c>
      <c r="E165" s="6">
        <v>200</v>
      </c>
      <c r="F165" s="5">
        <v>0.77900000000000003</v>
      </c>
      <c r="G165" s="6">
        <v>150</v>
      </c>
      <c r="H165" s="5">
        <v>0.8306</v>
      </c>
      <c r="I165" s="4">
        <f t="shared" si="8"/>
        <v>0.69217323101603356</v>
      </c>
      <c r="J165" s="3">
        <f t="shared" si="9"/>
        <v>0.30782676898396644</v>
      </c>
      <c r="K165" s="2">
        <f t="shared" si="10"/>
        <v>0.72198568303021671</v>
      </c>
      <c r="L165" s="1">
        <f t="shared" si="11"/>
        <v>0.27801431696978324</v>
      </c>
    </row>
    <row r="166" spans="2:12" ht="15" thickBot="1" x14ac:dyDescent="0.35">
      <c r="B166" t="s">
        <v>1</v>
      </c>
      <c r="C166" t="s">
        <v>52</v>
      </c>
      <c r="D166" s="7">
        <v>176</v>
      </c>
      <c r="E166" s="6">
        <v>200</v>
      </c>
      <c r="F166" s="5">
        <v>0.77900000000000003</v>
      </c>
      <c r="G166" s="6">
        <v>150</v>
      </c>
      <c r="H166" s="5">
        <v>0.8306</v>
      </c>
      <c r="I166" s="4">
        <f t="shared" si="8"/>
        <v>0.69217323101603356</v>
      </c>
      <c r="J166" s="3">
        <f t="shared" si="9"/>
        <v>0.30782676898396644</v>
      </c>
      <c r="K166" s="2">
        <f t="shared" si="10"/>
        <v>0.72198568303021671</v>
      </c>
      <c r="L166" s="1">
        <f t="shared" si="11"/>
        <v>0.27801431696978324</v>
      </c>
    </row>
    <row r="167" spans="2:12" ht="15" thickBot="1" x14ac:dyDescent="0.35">
      <c r="B167" t="s">
        <v>1</v>
      </c>
      <c r="C167" t="s">
        <v>51</v>
      </c>
      <c r="D167" s="7">
        <v>176</v>
      </c>
      <c r="E167" s="6">
        <v>200</v>
      </c>
      <c r="F167" s="5">
        <v>0.77900000000000003</v>
      </c>
      <c r="G167" s="6">
        <v>150</v>
      </c>
      <c r="H167" s="5">
        <v>0.8306</v>
      </c>
      <c r="I167" s="4">
        <f t="shared" si="8"/>
        <v>0.69217323101603356</v>
      </c>
      <c r="J167" s="3">
        <f t="shared" si="9"/>
        <v>0.30782676898396644</v>
      </c>
      <c r="K167" s="2">
        <f t="shared" si="10"/>
        <v>0.72198568303021671</v>
      </c>
      <c r="L167" s="1">
        <f t="shared" si="11"/>
        <v>0.27801431696978324</v>
      </c>
    </row>
    <row r="168" spans="2:12" ht="15" thickBot="1" x14ac:dyDescent="0.35">
      <c r="B168" t="s">
        <v>1</v>
      </c>
      <c r="C168" t="s">
        <v>50</v>
      </c>
      <c r="D168" s="7">
        <v>176</v>
      </c>
      <c r="E168" s="6">
        <v>200</v>
      </c>
      <c r="F168" s="5">
        <v>0.77900000000000003</v>
      </c>
      <c r="G168" s="6">
        <v>150</v>
      </c>
      <c r="H168" s="5">
        <v>0.8306</v>
      </c>
      <c r="I168" s="4">
        <f t="shared" si="8"/>
        <v>0.69217323101603356</v>
      </c>
      <c r="J168" s="3">
        <f t="shared" si="9"/>
        <v>0.30782676898396644</v>
      </c>
      <c r="K168" s="2">
        <f t="shared" si="10"/>
        <v>0.72198568303021671</v>
      </c>
      <c r="L168" s="1">
        <f t="shared" si="11"/>
        <v>0.27801431696978324</v>
      </c>
    </row>
    <row r="169" spans="2:12" ht="15" thickBot="1" x14ac:dyDescent="0.35">
      <c r="B169" t="s">
        <v>1</v>
      </c>
      <c r="C169" t="s">
        <v>49</v>
      </c>
      <c r="D169" s="7">
        <v>176</v>
      </c>
      <c r="E169" s="6">
        <v>200</v>
      </c>
      <c r="F169" s="5">
        <v>0.77900000000000003</v>
      </c>
      <c r="G169" s="6">
        <v>150</v>
      </c>
      <c r="H169" s="5">
        <v>0.8306</v>
      </c>
      <c r="I169" s="4">
        <f t="shared" si="8"/>
        <v>0.69217323101603356</v>
      </c>
      <c r="J169" s="3">
        <f t="shared" si="9"/>
        <v>0.30782676898396644</v>
      </c>
      <c r="K169" s="2">
        <f t="shared" si="10"/>
        <v>0.72198568303021671</v>
      </c>
      <c r="L169" s="1">
        <f t="shared" si="11"/>
        <v>0.27801431696978324</v>
      </c>
    </row>
    <row r="170" spans="2:12" ht="15" thickBot="1" x14ac:dyDescent="0.35">
      <c r="B170" t="s">
        <v>1</v>
      </c>
      <c r="C170" t="s">
        <v>48</v>
      </c>
      <c r="D170" s="7">
        <v>176</v>
      </c>
      <c r="E170" s="6">
        <v>200</v>
      </c>
      <c r="F170" s="5">
        <v>0.77900000000000003</v>
      </c>
      <c r="G170" s="6">
        <v>150</v>
      </c>
      <c r="H170" s="5">
        <v>0.8306</v>
      </c>
      <c r="I170" s="4">
        <f t="shared" si="8"/>
        <v>0.69217323101603356</v>
      </c>
      <c r="J170" s="3">
        <f t="shared" si="9"/>
        <v>0.30782676898396644</v>
      </c>
      <c r="K170" s="2">
        <f t="shared" si="10"/>
        <v>0.72198568303021671</v>
      </c>
      <c r="L170" s="1">
        <f t="shared" si="11"/>
        <v>0.27801431696978324</v>
      </c>
    </row>
    <row r="171" spans="2:12" ht="15" thickBot="1" x14ac:dyDescent="0.35">
      <c r="B171" t="s">
        <v>1</v>
      </c>
      <c r="C171" t="s">
        <v>47</v>
      </c>
      <c r="D171" s="7">
        <v>176</v>
      </c>
      <c r="E171" s="6">
        <v>200</v>
      </c>
      <c r="F171" s="5">
        <v>0.77900000000000003</v>
      </c>
      <c r="G171" s="6">
        <v>150</v>
      </c>
      <c r="H171" s="5">
        <v>0.8306</v>
      </c>
      <c r="I171" s="4">
        <f t="shared" si="8"/>
        <v>0.69217323101603356</v>
      </c>
      <c r="J171" s="3">
        <f t="shared" si="9"/>
        <v>0.30782676898396644</v>
      </c>
      <c r="K171" s="2">
        <f t="shared" si="10"/>
        <v>0.72198568303021671</v>
      </c>
      <c r="L171" s="1">
        <f t="shared" si="11"/>
        <v>0.27801431696978324</v>
      </c>
    </row>
    <row r="172" spans="2:12" ht="15" thickBot="1" x14ac:dyDescent="0.35">
      <c r="B172" t="s">
        <v>1</v>
      </c>
      <c r="C172" t="s">
        <v>46</v>
      </c>
      <c r="D172" s="7">
        <v>176</v>
      </c>
      <c r="E172" s="6">
        <v>200</v>
      </c>
      <c r="F172" s="5">
        <v>0.77900000000000003</v>
      </c>
      <c r="G172" s="6">
        <v>150</v>
      </c>
      <c r="H172" s="5">
        <v>0.8306</v>
      </c>
      <c r="I172" s="4">
        <f t="shared" si="8"/>
        <v>0.69217323101603356</v>
      </c>
      <c r="J172" s="3">
        <f t="shared" si="9"/>
        <v>0.30782676898396644</v>
      </c>
      <c r="K172" s="2">
        <f t="shared" si="10"/>
        <v>0.72198568303021671</v>
      </c>
      <c r="L172" s="1">
        <f t="shared" si="11"/>
        <v>0.27801431696978324</v>
      </c>
    </row>
    <row r="173" spans="2:12" ht="15" thickBot="1" x14ac:dyDescent="0.35">
      <c r="B173" t="s">
        <v>1</v>
      </c>
      <c r="C173" t="s">
        <v>45</v>
      </c>
      <c r="D173" s="7">
        <v>176</v>
      </c>
      <c r="E173" s="6">
        <v>200</v>
      </c>
      <c r="F173" s="5">
        <v>0.77900000000000003</v>
      </c>
      <c r="G173" s="6">
        <v>150</v>
      </c>
      <c r="H173" s="5">
        <v>0.8306</v>
      </c>
      <c r="I173" s="4">
        <f t="shared" si="8"/>
        <v>0.69217323101603356</v>
      </c>
      <c r="J173" s="3">
        <f t="shared" si="9"/>
        <v>0.30782676898396644</v>
      </c>
      <c r="K173" s="2">
        <f t="shared" si="10"/>
        <v>0.72198568303021671</v>
      </c>
      <c r="L173" s="1">
        <f t="shared" si="11"/>
        <v>0.27801431696978324</v>
      </c>
    </row>
    <row r="174" spans="2:12" ht="15" thickBot="1" x14ac:dyDescent="0.35">
      <c r="B174" t="s">
        <v>1</v>
      </c>
      <c r="C174" t="s">
        <v>44</v>
      </c>
      <c r="D174" s="7">
        <v>176</v>
      </c>
      <c r="E174" s="6">
        <v>200</v>
      </c>
      <c r="F174" s="5">
        <v>0.77900000000000003</v>
      </c>
      <c r="G174" s="6">
        <v>150</v>
      </c>
      <c r="H174" s="5">
        <v>0.8306</v>
      </c>
      <c r="I174" s="4">
        <f t="shared" si="8"/>
        <v>0.69217323101603356</v>
      </c>
      <c r="J174" s="3">
        <f t="shared" si="9"/>
        <v>0.30782676898396644</v>
      </c>
      <c r="K174" s="2">
        <f t="shared" si="10"/>
        <v>0.72198568303021671</v>
      </c>
      <c r="L174" s="1">
        <f t="shared" si="11"/>
        <v>0.27801431696978324</v>
      </c>
    </row>
    <row r="175" spans="2:12" ht="15" thickBot="1" x14ac:dyDescent="0.35">
      <c r="B175" t="s">
        <v>1</v>
      </c>
      <c r="C175" t="s">
        <v>43</v>
      </c>
      <c r="D175" s="7">
        <v>176</v>
      </c>
      <c r="E175" s="6">
        <v>200</v>
      </c>
      <c r="F175" s="5">
        <v>0.77900000000000003</v>
      </c>
      <c r="G175" s="6">
        <v>150</v>
      </c>
      <c r="H175" s="5">
        <v>0.8306</v>
      </c>
      <c r="I175" s="4">
        <f t="shared" si="8"/>
        <v>0.69217323101603356</v>
      </c>
      <c r="J175" s="3">
        <f t="shared" si="9"/>
        <v>0.30782676898396644</v>
      </c>
      <c r="K175" s="2">
        <f t="shared" si="10"/>
        <v>0.72198568303021671</v>
      </c>
      <c r="L175" s="1">
        <f t="shared" si="11"/>
        <v>0.27801431696978324</v>
      </c>
    </row>
    <row r="176" spans="2:12" ht="15" thickBot="1" x14ac:dyDescent="0.35">
      <c r="B176" t="s">
        <v>1</v>
      </c>
      <c r="C176" t="s">
        <v>42</v>
      </c>
      <c r="D176" s="7">
        <v>176</v>
      </c>
      <c r="E176" s="6">
        <v>200</v>
      </c>
      <c r="F176" s="5">
        <v>0.77900000000000003</v>
      </c>
      <c r="G176" s="6">
        <v>150</v>
      </c>
      <c r="H176" s="5">
        <v>0.8306</v>
      </c>
      <c r="I176" s="4">
        <f t="shared" si="8"/>
        <v>0.69217323101603356</v>
      </c>
      <c r="J176" s="3">
        <f t="shared" si="9"/>
        <v>0.30782676898396644</v>
      </c>
      <c r="K176" s="2">
        <f t="shared" si="10"/>
        <v>0.72198568303021671</v>
      </c>
      <c r="L176" s="1">
        <f t="shared" si="11"/>
        <v>0.27801431696978324</v>
      </c>
    </row>
    <row r="177" spans="2:12" ht="15" thickBot="1" x14ac:dyDescent="0.35">
      <c r="B177" t="s">
        <v>1</v>
      </c>
      <c r="C177" t="s">
        <v>41</v>
      </c>
      <c r="D177" s="7">
        <v>176</v>
      </c>
      <c r="E177" s="6">
        <v>200</v>
      </c>
      <c r="F177" s="5">
        <v>0.77900000000000003</v>
      </c>
      <c r="G177" s="6">
        <v>150</v>
      </c>
      <c r="H177" s="5">
        <v>0.8306</v>
      </c>
      <c r="I177" s="4">
        <f t="shared" si="8"/>
        <v>0.69217323101603356</v>
      </c>
      <c r="J177" s="3">
        <f t="shared" si="9"/>
        <v>0.30782676898396644</v>
      </c>
      <c r="K177" s="2">
        <f t="shared" si="10"/>
        <v>0.72198568303021671</v>
      </c>
      <c r="L177" s="1">
        <f t="shared" si="11"/>
        <v>0.27801431696978324</v>
      </c>
    </row>
    <row r="178" spans="2:12" ht="15" thickBot="1" x14ac:dyDescent="0.35">
      <c r="B178" t="s">
        <v>1</v>
      </c>
      <c r="C178" t="s">
        <v>40</v>
      </c>
      <c r="D178" s="7">
        <v>176</v>
      </c>
      <c r="E178" s="6">
        <v>200</v>
      </c>
      <c r="F178" s="5">
        <v>0.77900000000000003</v>
      </c>
      <c r="G178" s="6">
        <v>150</v>
      </c>
      <c r="H178" s="5">
        <v>0.8306</v>
      </c>
      <c r="I178" s="4">
        <f t="shared" si="8"/>
        <v>0.69217323101603356</v>
      </c>
      <c r="J178" s="3">
        <f t="shared" si="9"/>
        <v>0.30782676898396644</v>
      </c>
      <c r="K178" s="2">
        <f t="shared" si="10"/>
        <v>0.72198568303021671</v>
      </c>
      <c r="L178" s="1">
        <f t="shared" si="11"/>
        <v>0.27801431696978324</v>
      </c>
    </row>
    <row r="179" spans="2:12" ht="15" thickBot="1" x14ac:dyDescent="0.35">
      <c r="B179" t="s">
        <v>1</v>
      </c>
      <c r="C179" t="s">
        <v>39</v>
      </c>
      <c r="D179" s="7">
        <v>176</v>
      </c>
      <c r="E179" s="6">
        <v>200</v>
      </c>
      <c r="F179" s="5">
        <v>0.77900000000000003</v>
      </c>
      <c r="G179" s="6">
        <v>150</v>
      </c>
      <c r="H179" s="5">
        <v>0.8306</v>
      </c>
      <c r="I179" s="4">
        <f t="shared" si="8"/>
        <v>0.69217323101603356</v>
      </c>
      <c r="J179" s="3">
        <f t="shared" si="9"/>
        <v>0.30782676898396644</v>
      </c>
      <c r="K179" s="2">
        <f t="shared" si="10"/>
        <v>0.72198568303021671</v>
      </c>
      <c r="L179" s="1">
        <f t="shared" si="11"/>
        <v>0.27801431696978324</v>
      </c>
    </row>
    <row r="180" spans="2:12" ht="15" thickBot="1" x14ac:dyDescent="0.35">
      <c r="B180" t="s">
        <v>1</v>
      </c>
      <c r="C180" t="s">
        <v>38</v>
      </c>
      <c r="D180" s="7">
        <v>176</v>
      </c>
      <c r="E180" s="6">
        <v>200</v>
      </c>
      <c r="F180" s="5">
        <v>0.77900000000000003</v>
      </c>
      <c r="G180" s="6">
        <v>150</v>
      </c>
      <c r="H180" s="5">
        <v>0.8306</v>
      </c>
      <c r="I180" s="4">
        <f t="shared" si="8"/>
        <v>0.69217323101603356</v>
      </c>
      <c r="J180" s="3">
        <f t="shared" si="9"/>
        <v>0.30782676898396644</v>
      </c>
      <c r="K180" s="2">
        <f t="shared" si="10"/>
        <v>0.72198568303021671</v>
      </c>
      <c r="L180" s="1">
        <f t="shared" si="11"/>
        <v>0.27801431696978324</v>
      </c>
    </row>
    <row r="181" spans="2:12" ht="15" thickBot="1" x14ac:dyDescent="0.35">
      <c r="B181" t="s">
        <v>1</v>
      </c>
      <c r="C181" t="s">
        <v>37</v>
      </c>
      <c r="D181" s="7">
        <v>176</v>
      </c>
      <c r="E181" s="6">
        <v>200</v>
      </c>
      <c r="F181" s="5">
        <v>0.77900000000000003</v>
      </c>
      <c r="G181" s="6">
        <v>150</v>
      </c>
      <c r="H181" s="5">
        <v>0.8306</v>
      </c>
      <c r="I181" s="4">
        <f t="shared" si="8"/>
        <v>0.69217323101603356</v>
      </c>
      <c r="J181" s="3">
        <f t="shared" si="9"/>
        <v>0.30782676898396644</v>
      </c>
      <c r="K181" s="2">
        <f t="shared" si="10"/>
        <v>0.72198568303021671</v>
      </c>
      <c r="L181" s="1">
        <f t="shared" si="11"/>
        <v>0.27801431696978324</v>
      </c>
    </row>
    <row r="182" spans="2:12" ht="15" thickBot="1" x14ac:dyDescent="0.35">
      <c r="B182" t="s">
        <v>1</v>
      </c>
      <c r="C182" t="s">
        <v>36</v>
      </c>
      <c r="D182" s="7">
        <v>176</v>
      </c>
      <c r="E182" s="6">
        <v>200</v>
      </c>
      <c r="F182" s="5">
        <v>0.77900000000000003</v>
      </c>
      <c r="G182" s="6">
        <v>150</v>
      </c>
      <c r="H182" s="5">
        <v>0.8306</v>
      </c>
      <c r="I182" s="4">
        <f t="shared" si="8"/>
        <v>0.69217323101603356</v>
      </c>
      <c r="J182" s="3">
        <f t="shared" si="9"/>
        <v>0.30782676898396644</v>
      </c>
      <c r="K182" s="2">
        <f t="shared" si="10"/>
        <v>0.72198568303021671</v>
      </c>
      <c r="L182" s="1">
        <f t="shared" si="11"/>
        <v>0.27801431696978324</v>
      </c>
    </row>
    <row r="183" spans="2:12" ht="15" thickBot="1" x14ac:dyDescent="0.35">
      <c r="B183" t="s">
        <v>1</v>
      </c>
      <c r="C183" t="s">
        <v>35</v>
      </c>
      <c r="D183" s="7">
        <v>176</v>
      </c>
      <c r="E183" s="6">
        <v>200</v>
      </c>
      <c r="F183" s="5">
        <v>0.77900000000000003</v>
      </c>
      <c r="G183" s="6">
        <v>150</v>
      </c>
      <c r="H183" s="5">
        <v>0.8306</v>
      </c>
      <c r="I183" s="4">
        <f t="shared" si="8"/>
        <v>0.69217323101603356</v>
      </c>
      <c r="J183" s="3">
        <f t="shared" si="9"/>
        <v>0.30782676898396644</v>
      </c>
      <c r="K183" s="2">
        <f t="shared" si="10"/>
        <v>0.72198568303021671</v>
      </c>
      <c r="L183" s="1">
        <f t="shared" si="11"/>
        <v>0.27801431696978324</v>
      </c>
    </row>
    <row r="184" spans="2:12" ht="15" thickBot="1" x14ac:dyDescent="0.35">
      <c r="B184" t="s">
        <v>1</v>
      </c>
      <c r="C184" t="s">
        <v>34</v>
      </c>
      <c r="D184" s="7">
        <v>176</v>
      </c>
      <c r="E184" s="6">
        <v>200</v>
      </c>
      <c r="F184" s="5">
        <v>0.77900000000000003</v>
      </c>
      <c r="G184" s="6">
        <v>150</v>
      </c>
      <c r="H184" s="5">
        <v>0.8306</v>
      </c>
      <c r="I184" s="4">
        <f t="shared" si="8"/>
        <v>0.69217323101603356</v>
      </c>
      <c r="J184" s="3">
        <f t="shared" si="9"/>
        <v>0.30782676898396644</v>
      </c>
      <c r="K184" s="2">
        <f t="shared" si="10"/>
        <v>0.72198568303021671</v>
      </c>
      <c r="L184" s="1">
        <f t="shared" si="11"/>
        <v>0.27801431696978324</v>
      </c>
    </row>
    <row r="185" spans="2:12" ht="15" thickBot="1" x14ac:dyDescent="0.35">
      <c r="B185" t="s">
        <v>1</v>
      </c>
      <c r="C185" t="s">
        <v>33</v>
      </c>
      <c r="D185" s="7">
        <v>176</v>
      </c>
      <c r="E185" s="6">
        <v>200</v>
      </c>
      <c r="F185" s="5">
        <v>0.77900000000000003</v>
      </c>
      <c r="G185" s="6">
        <v>150</v>
      </c>
      <c r="H185" s="5">
        <v>0.8306</v>
      </c>
      <c r="I185" s="4">
        <f t="shared" si="8"/>
        <v>0.69217323101603356</v>
      </c>
      <c r="J185" s="3">
        <f t="shared" si="9"/>
        <v>0.30782676898396644</v>
      </c>
      <c r="K185" s="2">
        <f t="shared" si="10"/>
        <v>0.72198568303021671</v>
      </c>
      <c r="L185" s="1">
        <f t="shared" si="11"/>
        <v>0.27801431696978324</v>
      </c>
    </row>
    <row r="186" spans="2:12" ht="15" thickBot="1" x14ac:dyDescent="0.35">
      <c r="B186" t="s">
        <v>1</v>
      </c>
      <c r="C186" t="s">
        <v>32</v>
      </c>
      <c r="D186" s="7">
        <v>176</v>
      </c>
      <c r="E186" s="6">
        <v>200</v>
      </c>
      <c r="F186" s="5">
        <v>0.77900000000000003</v>
      </c>
      <c r="G186" s="6">
        <v>150</v>
      </c>
      <c r="H186" s="5">
        <v>0.8306</v>
      </c>
      <c r="I186" s="4">
        <f t="shared" si="8"/>
        <v>0.69217323101603356</v>
      </c>
      <c r="J186" s="3">
        <f t="shared" si="9"/>
        <v>0.30782676898396644</v>
      </c>
      <c r="K186" s="2">
        <f t="shared" si="10"/>
        <v>0.72198568303021671</v>
      </c>
      <c r="L186" s="1">
        <f t="shared" si="11"/>
        <v>0.27801431696978324</v>
      </c>
    </row>
    <row r="187" spans="2:12" ht="15" thickBot="1" x14ac:dyDescent="0.35">
      <c r="B187" t="s">
        <v>1</v>
      </c>
      <c r="C187" t="s">
        <v>31</v>
      </c>
      <c r="D187" s="7">
        <v>176</v>
      </c>
      <c r="E187" s="6">
        <v>200</v>
      </c>
      <c r="F187" s="5">
        <v>0.77900000000000003</v>
      </c>
      <c r="G187" s="6">
        <v>150</v>
      </c>
      <c r="H187" s="5">
        <v>0.8306</v>
      </c>
      <c r="I187" s="4">
        <f t="shared" si="8"/>
        <v>0.69217323101603356</v>
      </c>
      <c r="J187" s="3">
        <f t="shared" si="9"/>
        <v>0.30782676898396644</v>
      </c>
      <c r="K187" s="2">
        <f t="shared" si="10"/>
        <v>0.72198568303021671</v>
      </c>
      <c r="L187" s="1">
        <f t="shared" si="11"/>
        <v>0.27801431696978324</v>
      </c>
    </row>
    <row r="188" spans="2:12" ht="15" thickBot="1" x14ac:dyDescent="0.35">
      <c r="B188" t="s">
        <v>1</v>
      </c>
      <c r="C188" t="s">
        <v>30</v>
      </c>
      <c r="D188" s="7">
        <v>176</v>
      </c>
      <c r="E188" s="6">
        <v>200</v>
      </c>
      <c r="F188" s="5">
        <v>0.77900000000000003</v>
      </c>
      <c r="G188" s="6">
        <v>150</v>
      </c>
      <c r="H188" s="5">
        <v>0.8306</v>
      </c>
      <c r="I188" s="4">
        <f t="shared" si="8"/>
        <v>0.69217323101603356</v>
      </c>
      <c r="J188" s="3">
        <f t="shared" si="9"/>
        <v>0.30782676898396644</v>
      </c>
      <c r="K188" s="2">
        <f t="shared" si="10"/>
        <v>0.72198568303021671</v>
      </c>
      <c r="L188" s="1">
        <f t="shared" si="11"/>
        <v>0.27801431696978324</v>
      </c>
    </row>
    <row r="189" spans="2:12" ht="15" thickBot="1" x14ac:dyDescent="0.35">
      <c r="B189" t="s">
        <v>1</v>
      </c>
      <c r="C189" t="s">
        <v>29</v>
      </c>
      <c r="D189" s="7">
        <v>176</v>
      </c>
      <c r="E189" s="6">
        <v>200</v>
      </c>
      <c r="F189" s="5">
        <v>0.77900000000000003</v>
      </c>
      <c r="G189" s="6">
        <v>150</v>
      </c>
      <c r="H189" s="5">
        <v>0.8306</v>
      </c>
      <c r="I189" s="4">
        <f t="shared" si="8"/>
        <v>0.69217323101603356</v>
      </c>
      <c r="J189" s="3">
        <f t="shared" si="9"/>
        <v>0.30782676898396644</v>
      </c>
      <c r="K189" s="2">
        <f t="shared" si="10"/>
        <v>0.72198568303021671</v>
      </c>
      <c r="L189" s="1">
        <f t="shared" si="11"/>
        <v>0.27801431696978324</v>
      </c>
    </row>
    <row r="190" spans="2:12" ht="15" thickBot="1" x14ac:dyDescent="0.35">
      <c r="B190" t="s">
        <v>1</v>
      </c>
      <c r="C190" t="s">
        <v>28</v>
      </c>
      <c r="D190" s="7">
        <v>176</v>
      </c>
      <c r="E190" s="6">
        <v>200</v>
      </c>
      <c r="F190" s="5">
        <v>0.77900000000000003</v>
      </c>
      <c r="G190" s="6">
        <v>150</v>
      </c>
      <c r="H190" s="5">
        <v>0.8306</v>
      </c>
      <c r="I190" s="4">
        <f t="shared" si="8"/>
        <v>0.69217323101603356</v>
      </c>
      <c r="J190" s="3">
        <f t="shared" si="9"/>
        <v>0.30782676898396644</v>
      </c>
      <c r="K190" s="2">
        <f t="shared" si="10"/>
        <v>0.72198568303021671</v>
      </c>
      <c r="L190" s="1">
        <f t="shared" si="11"/>
        <v>0.27801431696978324</v>
      </c>
    </row>
    <row r="191" spans="2:12" ht="15" thickBot="1" x14ac:dyDescent="0.35">
      <c r="B191" t="s">
        <v>1</v>
      </c>
      <c r="C191" t="s">
        <v>27</v>
      </c>
      <c r="D191" s="7">
        <v>176</v>
      </c>
      <c r="E191" s="6">
        <v>200</v>
      </c>
      <c r="F191" s="5">
        <v>0.77900000000000003</v>
      </c>
      <c r="G191" s="6">
        <v>150</v>
      </c>
      <c r="H191" s="5">
        <v>0.8306</v>
      </c>
      <c r="I191" s="4">
        <f t="shared" si="8"/>
        <v>0.69217323101603356</v>
      </c>
      <c r="J191" s="3">
        <f t="shared" si="9"/>
        <v>0.30782676898396644</v>
      </c>
      <c r="K191" s="2">
        <f t="shared" si="10"/>
        <v>0.72198568303021671</v>
      </c>
      <c r="L191" s="1">
        <f t="shared" si="11"/>
        <v>0.27801431696978324</v>
      </c>
    </row>
    <row r="192" spans="2:12" ht="15" thickBot="1" x14ac:dyDescent="0.35">
      <c r="B192" t="s">
        <v>1</v>
      </c>
      <c r="C192" t="s">
        <v>26</v>
      </c>
      <c r="D192" s="7">
        <v>176</v>
      </c>
      <c r="E192" s="6">
        <v>200</v>
      </c>
      <c r="F192" s="5">
        <v>0.77900000000000003</v>
      </c>
      <c r="G192" s="6">
        <v>150</v>
      </c>
      <c r="H192" s="5">
        <v>0.8306</v>
      </c>
      <c r="I192" s="4">
        <f t="shared" si="8"/>
        <v>0.69217323101603356</v>
      </c>
      <c r="J192" s="3">
        <f t="shared" si="9"/>
        <v>0.30782676898396644</v>
      </c>
      <c r="K192" s="2">
        <f t="shared" si="10"/>
        <v>0.72198568303021671</v>
      </c>
      <c r="L192" s="1">
        <f t="shared" si="11"/>
        <v>0.27801431696978324</v>
      </c>
    </row>
    <row r="193" spans="2:12" ht="15" thickBot="1" x14ac:dyDescent="0.35">
      <c r="B193" t="s">
        <v>1</v>
      </c>
      <c r="C193" t="s">
        <v>25</v>
      </c>
      <c r="D193" s="7">
        <v>176</v>
      </c>
      <c r="E193" s="6">
        <v>200</v>
      </c>
      <c r="F193" s="5">
        <v>0.77900000000000003</v>
      </c>
      <c r="G193" s="6">
        <v>150</v>
      </c>
      <c r="H193" s="5">
        <v>0.8306</v>
      </c>
      <c r="I193" s="4">
        <f t="shared" si="8"/>
        <v>0.69217323101603356</v>
      </c>
      <c r="J193" s="3">
        <f t="shared" si="9"/>
        <v>0.30782676898396644</v>
      </c>
      <c r="K193" s="2">
        <f t="shared" si="10"/>
        <v>0.72198568303021671</v>
      </c>
      <c r="L193" s="1">
        <f t="shared" si="11"/>
        <v>0.27801431696978324</v>
      </c>
    </row>
    <row r="194" spans="2:12" ht="15" thickBot="1" x14ac:dyDescent="0.35">
      <c r="B194" t="s">
        <v>1</v>
      </c>
      <c r="C194" t="s">
        <v>24</v>
      </c>
      <c r="D194" s="7">
        <v>176</v>
      </c>
      <c r="E194" s="6">
        <v>200</v>
      </c>
      <c r="F194" s="5">
        <v>0.77900000000000003</v>
      </c>
      <c r="G194" s="6">
        <v>150</v>
      </c>
      <c r="H194" s="5">
        <v>0.8306</v>
      </c>
      <c r="I194" s="4">
        <f t="shared" si="8"/>
        <v>0.69217323101603356</v>
      </c>
      <c r="J194" s="3">
        <f t="shared" si="9"/>
        <v>0.30782676898396644</v>
      </c>
      <c r="K194" s="2">
        <f t="shared" si="10"/>
        <v>0.72198568303021671</v>
      </c>
      <c r="L194" s="1">
        <f t="shared" si="11"/>
        <v>0.27801431696978324</v>
      </c>
    </row>
    <row r="195" spans="2:12" ht="15" thickBot="1" x14ac:dyDescent="0.35">
      <c r="B195" t="s">
        <v>1</v>
      </c>
      <c r="C195" t="s">
        <v>23</v>
      </c>
      <c r="D195" s="7">
        <v>176</v>
      </c>
      <c r="E195" s="6">
        <v>200</v>
      </c>
      <c r="F195" s="5">
        <v>0.77900000000000003</v>
      </c>
      <c r="G195" s="6">
        <v>150</v>
      </c>
      <c r="H195" s="5">
        <v>0.8306</v>
      </c>
      <c r="I195" s="4">
        <f t="shared" si="8"/>
        <v>0.69217323101603356</v>
      </c>
      <c r="J195" s="3">
        <f t="shared" si="9"/>
        <v>0.30782676898396644</v>
      </c>
      <c r="K195" s="2">
        <f t="shared" si="10"/>
        <v>0.72198568303021671</v>
      </c>
      <c r="L195" s="1">
        <f t="shared" si="11"/>
        <v>0.27801431696978324</v>
      </c>
    </row>
    <row r="196" spans="2:12" ht="15" thickBot="1" x14ac:dyDescent="0.35">
      <c r="B196" t="s">
        <v>1</v>
      </c>
      <c r="C196" t="s">
        <v>22</v>
      </c>
      <c r="D196" s="7">
        <v>176</v>
      </c>
      <c r="E196" s="6">
        <v>200</v>
      </c>
      <c r="F196" s="5">
        <v>0.77900000000000003</v>
      </c>
      <c r="G196" s="6">
        <v>150</v>
      </c>
      <c r="H196" s="5">
        <v>0.8306</v>
      </c>
      <c r="I196" s="4">
        <f t="shared" si="8"/>
        <v>0.69217323101603356</v>
      </c>
      <c r="J196" s="3">
        <f t="shared" si="9"/>
        <v>0.30782676898396644</v>
      </c>
      <c r="K196" s="2">
        <f t="shared" si="10"/>
        <v>0.72198568303021671</v>
      </c>
      <c r="L196" s="1">
        <f t="shared" si="11"/>
        <v>0.27801431696978324</v>
      </c>
    </row>
    <row r="197" spans="2:12" ht="15" thickBot="1" x14ac:dyDescent="0.35">
      <c r="B197" t="s">
        <v>1</v>
      </c>
      <c r="C197" t="s">
        <v>21</v>
      </c>
      <c r="D197" s="7">
        <v>176</v>
      </c>
      <c r="E197" s="6">
        <v>200</v>
      </c>
      <c r="F197" s="5">
        <v>0.77900000000000003</v>
      </c>
      <c r="G197" s="6">
        <v>150</v>
      </c>
      <c r="H197" s="5">
        <v>0.8306</v>
      </c>
      <c r="I197" s="4">
        <f t="shared" si="8"/>
        <v>0.69217323101603356</v>
      </c>
      <c r="J197" s="3">
        <f t="shared" si="9"/>
        <v>0.30782676898396644</v>
      </c>
      <c r="K197" s="2">
        <f t="shared" si="10"/>
        <v>0.72198568303021671</v>
      </c>
      <c r="L197" s="1">
        <f t="shared" si="11"/>
        <v>0.27801431696978324</v>
      </c>
    </row>
    <row r="198" spans="2:12" ht="15" thickBot="1" x14ac:dyDescent="0.35">
      <c r="B198" t="s">
        <v>1</v>
      </c>
      <c r="C198" t="s">
        <v>20</v>
      </c>
      <c r="D198" s="7">
        <v>176</v>
      </c>
      <c r="E198" s="6">
        <v>200</v>
      </c>
      <c r="F198" s="5">
        <v>0.77900000000000003</v>
      </c>
      <c r="G198" s="6">
        <v>150</v>
      </c>
      <c r="H198" s="5">
        <v>0.8306</v>
      </c>
      <c r="I198" s="4">
        <f t="shared" si="8"/>
        <v>0.69217323101603356</v>
      </c>
      <c r="J198" s="3">
        <f t="shared" si="9"/>
        <v>0.30782676898396644</v>
      </c>
      <c r="K198" s="2">
        <f t="shared" si="10"/>
        <v>0.72198568303021671</v>
      </c>
      <c r="L198" s="1">
        <f t="shared" si="11"/>
        <v>0.27801431696978324</v>
      </c>
    </row>
    <row r="199" spans="2:12" ht="15" thickBot="1" x14ac:dyDescent="0.35">
      <c r="B199" t="s">
        <v>1</v>
      </c>
      <c r="C199" t="s">
        <v>19</v>
      </c>
      <c r="D199" s="7">
        <v>176</v>
      </c>
      <c r="E199" s="6">
        <v>200</v>
      </c>
      <c r="F199" s="5">
        <v>0.77900000000000003</v>
      </c>
      <c r="G199" s="6">
        <v>150</v>
      </c>
      <c r="H199" s="5">
        <v>0.8306</v>
      </c>
      <c r="I199" s="4">
        <f t="shared" si="8"/>
        <v>0.69217323101603356</v>
      </c>
      <c r="J199" s="3">
        <f t="shared" si="9"/>
        <v>0.30782676898396644</v>
      </c>
      <c r="K199" s="2">
        <f t="shared" si="10"/>
        <v>0.72198568303021671</v>
      </c>
      <c r="L199" s="1">
        <f t="shared" si="11"/>
        <v>0.27801431696978324</v>
      </c>
    </row>
    <row r="200" spans="2:12" ht="15" thickBot="1" x14ac:dyDescent="0.35">
      <c r="B200" t="s">
        <v>1</v>
      </c>
      <c r="C200" t="s">
        <v>18</v>
      </c>
      <c r="D200" s="7">
        <v>176</v>
      </c>
      <c r="E200" s="6">
        <v>200</v>
      </c>
      <c r="F200" s="5">
        <v>0.77900000000000003</v>
      </c>
      <c r="G200" s="6">
        <v>150</v>
      </c>
      <c r="H200" s="5">
        <v>0.8306</v>
      </c>
      <c r="I200" s="4">
        <f t="shared" si="8"/>
        <v>0.69217323101603356</v>
      </c>
      <c r="J200" s="3">
        <f t="shared" si="9"/>
        <v>0.30782676898396644</v>
      </c>
      <c r="K200" s="2">
        <f t="shared" si="10"/>
        <v>0.72198568303021671</v>
      </c>
      <c r="L200" s="1">
        <f t="shared" si="11"/>
        <v>0.27801431696978324</v>
      </c>
    </row>
    <row r="201" spans="2:12" ht="15" thickBot="1" x14ac:dyDescent="0.35">
      <c r="B201" t="s">
        <v>1</v>
      </c>
      <c r="C201" t="s">
        <v>17</v>
      </c>
      <c r="D201" s="7">
        <v>176</v>
      </c>
      <c r="E201" s="6">
        <v>200</v>
      </c>
      <c r="F201" s="5">
        <v>0.77900000000000003</v>
      </c>
      <c r="G201" s="6">
        <v>150</v>
      </c>
      <c r="H201" s="5">
        <v>0.8306</v>
      </c>
      <c r="I201" s="4">
        <f t="shared" si="8"/>
        <v>0.69217323101603356</v>
      </c>
      <c r="J201" s="3">
        <f t="shared" si="9"/>
        <v>0.30782676898396644</v>
      </c>
      <c r="K201" s="2">
        <f t="shared" si="10"/>
        <v>0.72198568303021671</v>
      </c>
      <c r="L201" s="1">
        <f t="shared" si="11"/>
        <v>0.27801431696978324</v>
      </c>
    </row>
    <row r="202" spans="2:12" ht="15" thickBot="1" x14ac:dyDescent="0.35">
      <c r="B202" t="s">
        <v>1</v>
      </c>
      <c r="C202" t="s">
        <v>16</v>
      </c>
      <c r="D202" s="7">
        <v>176</v>
      </c>
      <c r="E202" s="6">
        <v>200</v>
      </c>
      <c r="F202" s="5">
        <v>0.77900000000000003</v>
      </c>
      <c r="G202" s="6">
        <v>150</v>
      </c>
      <c r="H202" s="5">
        <v>0.8306</v>
      </c>
      <c r="I202" s="4">
        <f t="shared" si="8"/>
        <v>0.69217323101603356</v>
      </c>
      <c r="J202" s="3">
        <f t="shared" si="9"/>
        <v>0.30782676898396644</v>
      </c>
      <c r="K202" s="2">
        <f t="shared" si="10"/>
        <v>0.72198568303021671</v>
      </c>
      <c r="L202" s="1">
        <f t="shared" si="11"/>
        <v>0.27801431696978324</v>
      </c>
    </row>
    <row r="203" spans="2:12" ht="15" thickBot="1" x14ac:dyDescent="0.35">
      <c r="B203" t="s">
        <v>1</v>
      </c>
      <c r="C203" t="s">
        <v>15</v>
      </c>
      <c r="D203" s="7">
        <v>176</v>
      </c>
      <c r="E203" s="6">
        <v>200</v>
      </c>
      <c r="F203" s="5">
        <v>0.77900000000000003</v>
      </c>
      <c r="G203" s="6">
        <v>150</v>
      </c>
      <c r="H203" s="5">
        <v>0.8306</v>
      </c>
      <c r="I203" s="4">
        <f t="shared" si="8"/>
        <v>0.69217323101603356</v>
      </c>
      <c r="J203" s="3">
        <f t="shared" si="9"/>
        <v>0.30782676898396644</v>
      </c>
      <c r="K203" s="2">
        <f t="shared" si="10"/>
        <v>0.72198568303021671</v>
      </c>
      <c r="L203" s="1">
        <f t="shared" si="11"/>
        <v>0.27801431696978324</v>
      </c>
    </row>
    <row r="204" spans="2:12" ht="15" thickBot="1" x14ac:dyDescent="0.35">
      <c r="B204" t="s">
        <v>1</v>
      </c>
      <c r="C204" t="s">
        <v>14</v>
      </c>
      <c r="D204" s="7">
        <v>176</v>
      </c>
      <c r="E204" s="6">
        <v>200</v>
      </c>
      <c r="F204" s="5">
        <v>0.77900000000000003</v>
      </c>
      <c r="G204" s="6">
        <v>150</v>
      </c>
      <c r="H204" s="5">
        <v>0.8306</v>
      </c>
      <c r="I204" s="4">
        <f t="shared" si="8"/>
        <v>0.69217323101603356</v>
      </c>
      <c r="J204" s="3">
        <f t="shared" si="9"/>
        <v>0.30782676898396644</v>
      </c>
      <c r="K204" s="2">
        <f t="shared" si="10"/>
        <v>0.72198568303021671</v>
      </c>
      <c r="L204" s="1">
        <f t="shared" si="11"/>
        <v>0.27801431696978324</v>
      </c>
    </row>
    <row r="205" spans="2:12" ht="15" thickBot="1" x14ac:dyDescent="0.35">
      <c r="B205" t="s">
        <v>1</v>
      </c>
      <c r="C205" t="s">
        <v>13</v>
      </c>
      <c r="D205" s="7">
        <v>176</v>
      </c>
      <c r="E205" s="6">
        <v>200</v>
      </c>
      <c r="F205" s="5">
        <v>0.77900000000000003</v>
      </c>
      <c r="G205" s="6">
        <v>150</v>
      </c>
      <c r="H205" s="5">
        <v>0.8306</v>
      </c>
      <c r="I205" s="4">
        <f t="shared" si="8"/>
        <v>0.69217323101603356</v>
      </c>
      <c r="J205" s="3">
        <f t="shared" si="9"/>
        <v>0.30782676898396644</v>
      </c>
      <c r="K205" s="2">
        <f t="shared" si="10"/>
        <v>0.72198568303021671</v>
      </c>
      <c r="L205" s="1">
        <f t="shared" si="11"/>
        <v>0.27801431696978324</v>
      </c>
    </row>
    <row r="206" spans="2:12" ht="15" thickBot="1" x14ac:dyDescent="0.35">
      <c r="B206" t="s">
        <v>1</v>
      </c>
      <c r="C206" t="s">
        <v>12</v>
      </c>
      <c r="D206" s="7">
        <v>176</v>
      </c>
      <c r="E206" s="6">
        <v>200</v>
      </c>
      <c r="F206" s="5">
        <v>0.77900000000000003</v>
      </c>
      <c r="G206" s="6">
        <v>150</v>
      </c>
      <c r="H206" s="5">
        <v>0.8306</v>
      </c>
      <c r="I206" s="4">
        <f t="shared" si="8"/>
        <v>0.69217323101603356</v>
      </c>
      <c r="J206" s="3">
        <f t="shared" si="9"/>
        <v>0.30782676898396644</v>
      </c>
      <c r="K206" s="2">
        <f t="shared" si="10"/>
        <v>0.72198568303021671</v>
      </c>
      <c r="L206" s="1">
        <f t="shared" si="11"/>
        <v>0.27801431696978324</v>
      </c>
    </row>
    <row r="207" spans="2:12" ht="15" thickBot="1" x14ac:dyDescent="0.35">
      <c r="B207" t="s">
        <v>1</v>
      </c>
      <c r="C207" t="s">
        <v>11</v>
      </c>
      <c r="D207" s="7">
        <v>176</v>
      </c>
      <c r="E207" s="6">
        <v>200</v>
      </c>
      <c r="F207" s="5">
        <v>0.77900000000000003</v>
      </c>
      <c r="G207" s="6">
        <v>150</v>
      </c>
      <c r="H207" s="5">
        <v>0.8306</v>
      </c>
      <c r="I207" s="4">
        <f t="shared" si="8"/>
        <v>0.69217323101603356</v>
      </c>
      <c r="J207" s="3">
        <f t="shared" si="9"/>
        <v>0.30782676898396644</v>
      </c>
      <c r="K207" s="2">
        <f t="shared" si="10"/>
        <v>0.72198568303021671</v>
      </c>
      <c r="L207" s="1">
        <f t="shared" si="11"/>
        <v>0.27801431696978324</v>
      </c>
    </row>
    <row r="208" spans="2:12" ht="15" thickBot="1" x14ac:dyDescent="0.35">
      <c r="B208" t="s">
        <v>1</v>
      </c>
      <c r="C208" t="s">
        <v>10</v>
      </c>
      <c r="D208" s="7">
        <v>176</v>
      </c>
      <c r="E208" s="6">
        <v>200</v>
      </c>
      <c r="F208" s="5">
        <v>0.77900000000000003</v>
      </c>
      <c r="G208" s="6">
        <v>150</v>
      </c>
      <c r="H208" s="5">
        <v>0.8306</v>
      </c>
      <c r="I208" s="4">
        <f t="shared" si="8"/>
        <v>0.69217323101603356</v>
      </c>
      <c r="J208" s="3">
        <f t="shared" si="9"/>
        <v>0.30782676898396644</v>
      </c>
      <c r="K208" s="2">
        <f t="shared" si="10"/>
        <v>0.72198568303021671</v>
      </c>
      <c r="L208" s="1">
        <f t="shared" si="11"/>
        <v>0.27801431696978324</v>
      </c>
    </row>
    <row r="209" spans="2:12" ht="15" thickBot="1" x14ac:dyDescent="0.35">
      <c r="B209" t="s">
        <v>1</v>
      </c>
      <c r="C209" t="s">
        <v>9</v>
      </c>
      <c r="D209" s="7">
        <v>176</v>
      </c>
      <c r="E209" s="6">
        <v>200</v>
      </c>
      <c r="F209" s="5">
        <v>0.77900000000000003</v>
      </c>
      <c r="G209" s="6">
        <v>150</v>
      </c>
      <c r="H209" s="5">
        <v>0.8306</v>
      </c>
      <c r="I209" s="4">
        <f t="shared" si="8"/>
        <v>0.69217323101603356</v>
      </c>
      <c r="J209" s="3">
        <f t="shared" si="9"/>
        <v>0.30782676898396644</v>
      </c>
      <c r="K209" s="2">
        <f t="shared" si="10"/>
        <v>0.72198568303021671</v>
      </c>
      <c r="L209" s="1">
        <f t="shared" si="11"/>
        <v>0.27801431696978324</v>
      </c>
    </row>
    <row r="210" spans="2:12" ht="15" thickBot="1" x14ac:dyDescent="0.35">
      <c r="B210" t="s">
        <v>1</v>
      </c>
      <c r="C210" t="s">
        <v>8</v>
      </c>
      <c r="D210" s="7">
        <v>176</v>
      </c>
      <c r="E210" s="6">
        <v>200</v>
      </c>
      <c r="F210" s="5">
        <v>0.77900000000000003</v>
      </c>
      <c r="G210" s="6">
        <v>150</v>
      </c>
      <c r="H210" s="5">
        <v>0.8306</v>
      </c>
      <c r="I210" s="4">
        <f t="shared" si="8"/>
        <v>0.69217323101603356</v>
      </c>
      <c r="J210" s="3">
        <f t="shared" si="9"/>
        <v>0.30782676898396644</v>
      </c>
      <c r="K210" s="2">
        <f t="shared" si="10"/>
        <v>0.72198568303021671</v>
      </c>
      <c r="L210" s="1">
        <f t="shared" si="11"/>
        <v>0.27801431696978324</v>
      </c>
    </row>
    <row r="211" spans="2:12" ht="15" thickBot="1" x14ac:dyDescent="0.35">
      <c r="B211" t="s">
        <v>1</v>
      </c>
      <c r="C211" t="s">
        <v>7</v>
      </c>
      <c r="D211" s="7">
        <v>176</v>
      </c>
      <c r="E211" s="6">
        <v>200</v>
      </c>
      <c r="F211" s="5">
        <v>0.77900000000000003</v>
      </c>
      <c r="G211" s="6">
        <v>150</v>
      </c>
      <c r="H211" s="5">
        <v>0.8306</v>
      </c>
      <c r="I211" s="4">
        <f t="shared" si="8"/>
        <v>0.69217323101603356</v>
      </c>
      <c r="J211" s="3">
        <f t="shared" si="9"/>
        <v>0.30782676898396644</v>
      </c>
      <c r="K211" s="2">
        <f t="shared" si="10"/>
        <v>0.72198568303021671</v>
      </c>
      <c r="L211" s="1">
        <f t="shared" si="11"/>
        <v>0.27801431696978324</v>
      </c>
    </row>
    <row r="212" spans="2:12" ht="15" thickBot="1" x14ac:dyDescent="0.35">
      <c r="B212" t="s">
        <v>1</v>
      </c>
      <c r="C212" t="s">
        <v>6</v>
      </c>
      <c r="D212" s="7">
        <v>176</v>
      </c>
      <c r="E212" s="6">
        <v>200</v>
      </c>
      <c r="F212" s="5">
        <v>0.77900000000000003</v>
      </c>
      <c r="G212" s="6">
        <v>150</v>
      </c>
      <c r="H212" s="5">
        <v>0.8306</v>
      </c>
      <c r="I212" s="4">
        <f t="shared" si="8"/>
        <v>0.69217323101603356</v>
      </c>
      <c r="J212" s="3">
        <f t="shared" si="9"/>
        <v>0.30782676898396644</v>
      </c>
      <c r="K212" s="2">
        <f t="shared" si="10"/>
        <v>0.72198568303021671</v>
      </c>
      <c r="L212" s="1">
        <f t="shared" si="11"/>
        <v>0.27801431696978324</v>
      </c>
    </row>
    <row r="213" spans="2:12" ht="15" thickBot="1" x14ac:dyDescent="0.35">
      <c r="B213" t="s">
        <v>1</v>
      </c>
      <c r="C213" t="s">
        <v>5</v>
      </c>
      <c r="D213" s="7">
        <v>176</v>
      </c>
      <c r="E213" s="6">
        <v>200</v>
      </c>
      <c r="F213" s="5">
        <v>0.77900000000000003</v>
      </c>
      <c r="G213" s="6">
        <v>150</v>
      </c>
      <c r="H213" s="5">
        <v>0.8306</v>
      </c>
      <c r="I213" s="4">
        <f t="shared" ref="I213:I217" si="12">NORMSDIST(LN(E213/D213)/(F213*SQRT($H$2/365)))</f>
        <v>0.69217323101603356</v>
      </c>
      <c r="J213" s="3">
        <f t="shared" ref="J213:J217" si="13">1-NORMSDIST(LN(E213/D213)/(F213*SQRT($H$2/365)))</f>
        <v>0.30782676898396644</v>
      </c>
      <c r="K213" s="2">
        <f t="shared" ref="K213:K217" si="14">1-NORMSDIST(LN(G213/D213)/(H213*SQRT($H$2/365)))</f>
        <v>0.72198568303021671</v>
      </c>
      <c r="L213" s="1">
        <f t="shared" ref="L213:L217" si="15">NORMSDIST(LN(G213/D213)/(H213*SQRT($H$2/365)))</f>
        <v>0.27801431696978324</v>
      </c>
    </row>
    <row r="214" spans="2:12" ht="15" thickBot="1" x14ac:dyDescent="0.35">
      <c r="B214" t="s">
        <v>1</v>
      </c>
      <c r="C214" t="s">
        <v>4</v>
      </c>
      <c r="D214" s="7">
        <v>176</v>
      </c>
      <c r="E214" s="6">
        <v>200</v>
      </c>
      <c r="F214" s="5">
        <v>0.77900000000000003</v>
      </c>
      <c r="G214" s="6">
        <v>150</v>
      </c>
      <c r="H214" s="5">
        <v>0.8306</v>
      </c>
      <c r="I214" s="4">
        <f t="shared" si="12"/>
        <v>0.69217323101603356</v>
      </c>
      <c r="J214" s="3">
        <f t="shared" si="13"/>
        <v>0.30782676898396644</v>
      </c>
      <c r="K214" s="2">
        <f t="shared" si="14"/>
        <v>0.72198568303021671</v>
      </c>
      <c r="L214" s="1">
        <f t="shared" si="15"/>
        <v>0.27801431696978324</v>
      </c>
    </row>
    <row r="215" spans="2:12" ht="15" thickBot="1" x14ac:dyDescent="0.35">
      <c r="B215" t="s">
        <v>1</v>
      </c>
      <c r="C215" t="s">
        <v>3</v>
      </c>
      <c r="D215" s="7">
        <v>176</v>
      </c>
      <c r="E215" s="6">
        <v>200</v>
      </c>
      <c r="F215" s="5">
        <v>0.77900000000000003</v>
      </c>
      <c r="G215" s="6">
        <v>150</v>
      </c>
      <c r="H215" s="5">
        <v>0.8306</v>
      </c>
      <c r="I215" s="4">
        <f t="shared" si="12"/>
        <v>0.69217323101603356</v>
      </c>
      <c r="J215" s="3">
        <f t="shared" si="13"/>
        <v>0.30782676898396644</v>
      </c>
      <c r="K215" s="2">
        <f t="shared" si="14"/>
        <v>0.72198568303021671</v>
      </c>
      <c r="L215" s="1">
        <f t="shared" si="15"/>
        <v>0.27801431696978324</v>
      </c>
    </row>
    <row r="216" spans="2:12" ht="15" thickBot="1" x14ac:dyDescent="0.35">
      <c r="B216" t="s">
        <v>1</v>
      </c>
      <c r="C216" t="s">
        <v>2</v>
      </c>
      <c r="D216" s="7">
        <v>176</v>
      </c>
      <c r="E216" s="6">
        <v>200</v>
      </c>
      <c r="F216" s="5">
        <v>0.77900000000000003</v>
      </c>
      <c r="G216" s="6">
        <v>150</v>
      </c>
      <c r="H216" s="5">
        <v>0.8306</v>
      </c>
      <c r="I216" s="4">
        <f t="shared" si="12"/>
        <v>0.69217323101603356</v>
      </c>
      <c r="J216" s="3">
        <f t="shared" si="13"/>
        <v>0.30782676898396644</v>
      </c>
      <c r="K216" s="2">
        <f t="shared" si="14"/>
        <v>0.72198568303021671</v>
      </c>
      <c r="L216" s="1">
        <f t="shared" si="15"/>
        <v>0.27801431696978324</v>
      </c>
    </row>
    <row r="217" spans="2:12" ht="15" thickBot="1" x14ac:dyDescent="0.35">
      <c r="B217" t="s">
        <v>1</v>
      </c>
      <c r="C217" t="s">
        <v>0</v>
      </c>
      <c r="D217" s="7">
        <v>176</v>
      </c>
      <c r="E217" s="6">
        <v>200</v>
      </c>
      <c r="F217" s="5">
        <v>0.77900000000000003</v>
      </c>
      <c r="G217" s="6">
        <v>150</v>
      </c>
      <c r="H217" s="5">
        <v>0.8306</v>
      </c>
      <c r="I217" s="4">
        <f t="shared" si="12"/>
        <v>0.69217323101603356</v>
      </c>
      <c r="J217" s="3">
        <f t="shared" si="13"/>
        <v>0.30782676898396644</v>
      </c>
      <c r="K217" s="2">
        <f t="shared" si="14"/>
        <v>0.72198568303021671</v>
      </c>
      <c r="L217" s="1">
        <f t="shared" si="15"/>
        <v>0.27801431696978324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Kadoo, Akshay</dc:creator>
  <cp:lastModifiedBy>Kadoo, Akshay</cp:lastModifiedBy>
  <dcterms:created xsi:type="dcterms:W3CDTF">2018-12-07T16:25:49Z</dcterms:created>
  <dcterms:modified xsi:type="dcterms:W3CDTF">2018-12-08T06:45:56Z</dcterms:modified>
</cp:coreProperties>
</file>